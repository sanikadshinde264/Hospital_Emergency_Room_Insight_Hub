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ata Analytics Cource\Project\"/>
    </mc:Choice>
  </mc:AlternateContent>
  <xr:revisionPtr revIDLastSave="0" documentId="13_ncr:1_{DAD7E372-E0DC-4C92-9842-F749285A6104}" xr6:coauthVersionLast="47" xr6:coauthVersionMax="47" xr10:uidLastSave="{00000000-0000-0000-0000-000000000000}"/>
  <bookViews>
    <workbookView xWindow="-110" yWindow="-110" windowWidth="19420" windowHeight="10300" firstSheet="1" activeTab="1" xr2:uid="{5CD3790B-F19D-4C80-8B4B-676BF3273B69}"/>
  </bookViews>
  <sheets>
    <sheet name="Pivot Table" sheetId="1" r:id="rId1"/>
    <sheet name="Dashboard" sheetId="2" r:id="rId2"/>
    <sheet name="Daily ER No. Of Patient" sheetId="7" r:id="rId3"/>
    <sheet name="Average Wait Time" sheetId="8" r:id="rId4"/>
    <sheet name="Satisfaction Score Trend" sheetId="9" r:id="rId5"/>
  </sheets>
  <definedNames>
    <definedName name="Slicer_Date__Month">#N/A</definedName>
    <definedName name="Slicer_Date__Year">#N/A</definedName>
  </definedNames>
  <calcPr calcId="18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5dec083-7a46-4663-b2ac-c5d6575984dc" name="Hospital Emergency Room Data" connection="Query - Hospital Emergency Room Data"/>
          <x15:modelTable id="Calendar_Table_a4c9709c-cd98-402d-a7e5-7a58e136320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7" i="1" l="1"/>
  <c r="C48" i="1"/>
  <c r="B47" i="1"/>
  <c r="B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EB9BB-6F9E-439A-853A-23A3C26EA49D}" name="Query - Calendar_Table" description="Connection to the 'Calendar_Table' query in the workbook." type="100" refreshedVersion="8" minRefreshableVersion="5">
    <extLst>
      <ext xmlns:x15="http://schemas.microsoft.com/office/spreadsheetml/2010/11/main" uri="{DE250136-89BD-433C-8126-D09CA5730AF9}">
        <x15:connection id="b577599d-0932-494b-b827-24a6c2578b3e"/>
      </ext>
    </extLst>
  </connection>
  <connection id="2" xr16:uid="{D168235A-405E-4615-BBC7-2DFC5E51D9F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25371c1-bb28-4e61-8743-a188c4d9f816"/>
      </ext>
    </extLst>
  </connection>
  <connection id="3" xr16:uid="{402AFDA7-10B3-4EC0-9FDC-6B96FC9A5E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<sst xmlns="http://schemas.openxmlformats.org/spreadsheetml/2006/main" count="188" uniqueCount="76">
  <si>
    <t>Distinct Count of Patient Id</t>
  </si>
  <si>
    <t>Average of Patient Waittime</t>
  </si>
  <si>
    <t>Average of Patient Satisfaction Score</t>
  </si>
  <si>
    <t>Admitted</t>
  </si>
  <si>
    <t>Not Admitted</t>
  </si>
  <si>
    <t>Row Labels</t>
  </si>
  <si>
    <t>Grand Total</t>
  </si>
  <si>
    <t>Daily Trends Of No. Of Patient Visiting to ER</t>
  </si>
  <si>
    <t>Average Wait Time</t>
  </si>
  <si>
    <t>Satisfaction Score Daily Trend</t>
  </si>
  <si>
    <t>Count of Patient Admission Flag</t>
  </si>
  <si>
    <t>Count of Patient Admission Flag2</t>
  </si>
  <si>
    <t>Admission Status</t>
  </si>
  <si>
    <t>Patients</t>
  </si>
  <si>
    <t xml:space="preserve">% Of Total </t>
  </si>
  <si>
    <t>Status in %</t>
  </si>
  <si>
    <t>0-09</t>
  </si>
  <si>
    <t>10-19</t>
  </si>
  <si>
    <t>20-29</t>
  </si>
  <si>
    <t>30-39</t>
  </si>
  <si>
    <t>40-49</t>
  </si>
  <si>
    <t>50-59</t>
  </si>
  <si>
    <t>60-69</t>
  </si>
  <si>
    <t>70-79</t>
  </si>
  <si>
    <t>Count of Age Group</t>
  </si>
  <si>
    <t>Delay</t>
  </si>
  <si>
    <t>Ontime</t>
  </si>
  <si>
    <t>Count of Patient Attend Status</t>
  </si>
  <si>
    <t>Patients Attended Within Time</t>
  </si>
  <si>
    <t>No. Of Patient By Age Group</t>
  </si>
  <si>
    <t>Male</t>
  </si>
  <si>
    <t>None</t>
  </si>
  <si>
    <t>Female</t>
  </si>
  <si>
    <t>General Practice</t>
  </si>
  <si>
    <t>Orthopedics</t>
  </si>
  <si>
    <t>Physiotherapy</t>
  </si>
  <si>
    <t>Cardiology</t>
  </si>
  <si>
    <t>Neurology</t>
  </si>
  <si>
    <t>Gastroenterology</t>
  </si>
  <si>
    <t>Renal</t>
  </si>
  <si>
    <t>Count of Patient Gender</t>
  </si>
  <si>
    <t>No. Of Patients By Gender</t>
  </si>
  <si>
    <t>Count of Department Referral</t>
  </si>
  <si>
    <t>No. Of Patient By Department Referral</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</si>
  <si>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</si>
  <si>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</si>
  <si>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</si>
  <si>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</si>
  <si>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</si>
  <si>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</si>
  <si>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</si>
  <si>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</si>
  <si>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</si>
  <si>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</si>
  <si>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</si>
  <si>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</si>
  <si>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</si>
  <si>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</si>
  <si>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</si>
  <si>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</si>
  <si>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</si>
  <si>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</si>
  <si>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</si>
  <si>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</si>
  <si>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</si>
  <si>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</si>
  <si>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</si>
  <si>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</si>
  <si>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</si>
  <si>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</si>
  <si>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</si>
  <si>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</si>
  <si>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</si>
  <si>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</si>
  <si>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2023</t>
  </si>
  <si>
    <t>Select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</si>
</sst>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1"/>
      <color theme="1"/>
      <name val="Times New Roman"/>
      <family val="1"/>
    </font>
    <font>
      <b/>
      <sz val="16"/>
      <color theme="1"/>
      <name val="Times New Roman"/>
      <family val="1"/>
    </font>
    <font>
      <sz val="10.5"/>
      <color theme="1"/>
      <name val="Times New Roman"/>
      <family val="1"/>
    </font>
    <font>
      <sz val="11"/>
      <color theme="3" tint="-0.249977111117893"/>
      <name val="Times New Roman"/>
      <family val="1"/>
    </font>
    <font>
      <sz val="11"/>
      <color theme="3" tint="-0.249977111117893"/>
      <name val="Calibri"/>
      <family val="2"/>
      <scheme val="minor"/>
    </font>
    <font>
      <sz val="10.5"/>
      <color rgb="FF000000"/>
      <name val="Times New Roman"/>
      <family val="1"/>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2" fontId="2" fillId="0" borderId="0" xfId="0" applyNumberFormat="1" applyFont="1"/>
    <xf numFmtId="0" fontId="1" fillId="0" borderId="0" xfId="0" applyFont="1"/>
    <xf numFmtId="0" fontId="1" fillId="0" borderId="0" xfId="0" pivotButton="1" applyFont="1"/>
    <xf numFmtId="0" fontId="1" fillId="0" borderId="0" xfId="0" applyFont="1" applyAlignment="1">
      <alignment horizontal="left"/>
    </xf>
    <xf numFmtId="0" fontId="0" fillId="3" borderId="0" xfId="0" applyFill="1"/>
    <xf numFmtId="10" fontId="2" fillId="0" borderId="0" xfId="0" applyNumberFormat="1" applyFont="1"/>
    <xf numFmtId="0" fontId="4" fillId="4" borderId="0" xfId="0" applyFont="1" applyFill="1"/>
    <xf numFmtId="0" fontId="1" fillId="4" borderId="0" xfId="0" applyFont="1" applyFill="1" applyAlignment="1">
      <alignment horizontal="left"/>
    </xf>
    <xf numFmtId="10" fontId="2" fillId="4" borderId="0" xfId="0" applyNumberFormat="1" applyFont="1" applyFill="1"/>
    <xf numFmtId="0" fontId="3" fillId="4" borderId="0" xfId="0" applyFont="1" applyFill="1" applyAlignment="1">
      <alignment horizontal="center"/>
    </xf>
    <xf numFmtId="0" fontId="5" fillId="2" borderId="0" xfId="0" applyFont="1" applyFill="1"/>
    <xf numFmtId="0" fontId="1" fillId="3" borderId="0" xfId="0" applyFont="1" applyFill="1" applyAlignment="1">
      <alignment horizontal="center"/>
    </xf>
    <xf numFmtId="10" fontId="1" fillId="3" borderId="0" xfId="0" applyNumberFormat="1" applyFont="1" applyFill="1" applyAlignment="1">
      <alignment horizontal="center"/>
    </xf>
    <xf numFmtId="2" fontId="2" fillId="4" borderId="0" xfId="0" applyNumberFormat="1" applyFont="1" applyFill="1"/>
    <xf numFmtId="1" fontId="2" fillId="0" borderId="0" xfId="0" applyNumberFormat="1" applyFont="1"/>
    <xf numFmtId="1" fontId="2" fillId="4" borderId="0" xfId="0" applyNumberFormat="1" applyFont="1" applyFill="1"/>
    <xf numFmtId="0" fontId="6" fillId="0" borderId="0" xfId="0" applyFont="1" applyAlignment="1">
      <alignment horizontal="center" vertical="center"/>
    </xf>
    <xf numFmtId="9" fontId="2" fillId="0" borderId="0" xfId="0" applyNumberFormat="1" applyFont="1"/>
    <xf numFmtId="0" fontId="2" fillId="0" borderId="0" xfId="0" applyFont="1"/>
    <xf numFmtId="0" fontId="2" fillId="4" borderId="0" xfId="0" applyFont="1" applyFill="1"/>
    <xf numFmtId="0" fontId="6" fillId="0" borderId="0" xfId="0" applyFont="1"/>
  </cellXfs>
  <cellStyles count="1">
    <cellStyle name="Normal" xfId="0" builtinId="0"/>
  </cellStyles>
  <dxfs count="109">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2" formatCode="0.00"/>
    </dxf>
    <dxf>
      <numFmt numFmtId="2" formatCode="0.00"/>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font>
        <name val="Times New Roman"/>
        <family val="1"/>
        <scheme val="none"/>
      </font>
    </dxf>
    <dxf>
      <font>
        <name val="Times New Roman"/>
        <family val="1"/>
        <scheme val="none"/>
      </font>
    </dxf>
    <dxf>
      <font>
        <name val="Times New Roman"/>
        <family val="1"/>
        <scheme val="none"/>
      </font>
    </dxf>
    <dxf>
      <font>
        <b/>
      </font>
    </dxf>
    <dxf>
      <font>
        <sz val="16"/>
      </font>
    </dxf>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patternType="solid">
          <bgColor theme="0"/>
        </patternFill>
      </fill>
    </dxf>
    <dxf>
      <fill>
        <patternFill patternType="solid">
          <bgColor theme="0"/>
        </patternFill>
      </fill>
    </dxf>
    <dxf>
      <font>
        <color theme="3" tint="-0.249977111117893"/>
      </font>
    </dxf>
    <dxf>
      <font>
        <color theme="3" tint="-0.249977111117893"/>
      </font>
    </dxf>
    <dxf>
      <numFmt numFmtId="0" formatCode="General"/>
    </dxf>
    <dxf>
      <numFmt numFmtId="0" formatCode="General"/>
    </dxf>
    <dxf>
      <numFmt numFmtId="14"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13" formatCode="0%"/>
    </dxf>
    <dxf>
      <numFmt numFmtId="13" formatCode="0%"/>
    </dxf>
    <dxf>
      <numFmt numFmtId="14"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2" formatCode="0.00"/>
    </dxf>
    <dxf>
      <numFmt numFmtId="2" formatCode="0.00"/>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8"/>
        </bottom>
        <vertical/>
        <horizontal/>
      </border>
    </dxf>
    <dxf>
      <font>
        <b/>
        <i val="0"/>
        <sz val="7.5"/>
        <color theme="1"/>
        <name val="Times New Roman"/>
        <family val="1"/>
      </font>
      <fill>
        <patternFill patternType="solid">
          <bgColor theme="0"/>
        </patternFill>
      </fill>
      <border diagonalUp="0" diagonalDown="0">
        <left/>
        <right/>
        <top/>
        <bottom/>
        <vertical/>
        <horizontal/>
      </border>
    </dxf>
  </dxfs>
  <tableStyles count="2" defaultTableStyle="TableStyleMedium2" defaultPivotStyle="PivotStyleLight16">
    <tableStyle name="MyStyle" pivot="0" table="0" count="10" xr9:uid="{2B7B8BA2-3320-4949-A2B6-F7FD7D6D60ED}">
      <tableStyleElement type="wholeTable" dxfId="108"/>
      <tableStyleElement type="headerRow" dxfId="107"/>
    </tableStyle>
    <tableStyle name="MyStyle2" pivot="0" table="0" count="10" xr9:uid="{46FD81DC-408D-4E46-8E88-743660D87CDB}">
      <tableStyleElement type="wholeTable" dxfId="106"/>
      <tableStyleElement type="headerRow" dxfId="10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Table!PivotTable8</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6980281310990075E-2"/>
              <c:y val="0"/>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071151-51C9-49FC-A5B6-12C5C9E61316}"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509368815529069"/>
                  <c:h val="0.31427054764221884"/>
                </c:manualLayout>
              </c15:layout>
              <c15:dlblFieldTable/>
              <c15:showDataLabelsRange val="1"/>
            </c:ext>
          </c:extLst>
        </c:dLbl>
      </c:pivotFmt>
      <c:pivotFmt>
        <c:idx val="3"/>
        <c:spPr>
          <a:solidFill>
            <a:schemeClr val="accent1"/>
          </a:solidFill>
          <a:ln>
            <a:noFill/>
          </a:ln>
          <a:effectLst/>
        </c:spPr>
        <c:dLbl>
          <c:idx val="0"/>
          <c:layout>
            <c:manualLayout>
              <c:x val="-2.8490028490028491E-2"/>
              <c:y val="0"/>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E7B5F9-5789-462D-89BD-A3CFE8B9D13B}"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18956587645795"/>
                  <c:h val="0.31427054764221884"/>
                </c:manualLayout>
              </c15:layout>
              <c15:dlblFieldTable/>
              <c15:showDataLabelsRange val="1"/>
            </c:ext>
          </c:extLst>
        </c:dLbl>
      </c:pivotFmt>
    </c:pivotFmts>
    <c:plotArea>
      <c:layout>
        <c:manualLayout>
          <c:layoutTarget val="inner"/>
          <c:xMode val="edge"/>
          <c:yMode val="edge"/>
          <c:x val="5.2961942257217842E-2"/>
          <c:y val="0.22536254707292022"/>
          <c:w val="0.73579227823108218"/>
          <c:h val="0.5056179775280899"/>
        </c:manualLayout>
      </c:layout>
      <c:barChart>
        <c:barDir val="bar"/>
        <c:grouping val="clustered"/>
        <c:varyColors val="0"/>
        <c:ser>
          <c:idx val="0"/>
          <c:order val="0"/>
          <c:tx>
            <c:strRef>
              <c:f>'Pivot Table'!$C$40:$C$41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7421-44D6-9A99-87E7BDC74A86}"/>
              </c:ext>
            </c:extLst>
          </c:dPt>
          <c:dPt>
            <c:idx val="1"/>
            <c:invertIfNegative val="0"/>
            <c:bubble3D val="0"/>
            <c:extLst>
              <c:ext xmlns:c16="http://schemas.microsoft.com/office/drawing/2014/chart" uri="{C3380CC4-5D6E-409C-BE32-E72D297353CC}">
                <c16:uniqueId val="{00000003-7421-44D6-9A99-87E7BDC74A86}"/>
              </c:ext>
            </c:extLst>
          </c:dPt>
          <c:dLbls>
            <c:dLbl>
              <c:idx val="0"/>
              <c:layout>
                <c:manualLayout>
                  <c:x val="-2.8490028490028491E-2"/>
                  <c:y val="0"/>
                </c:manualLayout>
              </c:layout>
              <c:tx>
                <c:rich>
                  <a:bodyPr/>
                  <a:lstStyle/>
                  <a:p>
                    <a:fld id="{02E7B5F9-5789-462D-89BD-A3CFE8B9D13B}"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4018956587645795"/>
                      <c:h val="0.31427054764221884"/>
                    </c:manualLayout>
                  </c15:layout>
                  <c15:dlblFieldTable/>
                  <c15:showDataLabelsRange val="1"/>
                </c:ext>
                <c:ext xmlns:c16="http://schemas.microsoft.com/office/drawing/2014/chart" uri="{C3380CC4-5D6E-409C-BE32-E72D297353CC}">
                  <c16:uniqueId val="{00000004-7421-44D6-9A99-87E7BDC74A86}"/>
                </c:ext>
              </c:extLst>
            </c:dLbl>
            <c:dLbl>
              <c:idx val="1"/>
              <c:layout>
                <c:manualLayout>
                  <c:x val="-5.6980281310990075E-2"/>
                  <c:y val="0"/>
                </c:manualLayout>
              </c:layout>
              <c:tx>
                <c:rich>
                  <a:bodyPr/>
                  <a:lstStyle/>
                  <a:p>
                    <a:fld id="{89071151-51C9-49FC-A5B6-12C5C9E61316}"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35509368815529069"/>
                      <c:h val="0.31427054764221884"/>
                    </c:manualLayout>
                  </c15:layout>
                  <c15:dlblFieldTable/>
                  <c15:showDataLabelsRange val="1"/>
                </c:ext>
                <c:ext xmlns:c16="http://schemas.microsoft.com/office/drawing/2014/chart" uri="{C3380CC4-5D6E-409C-BE32-E72D297353CC}">
                  <c16:uniqueId val="{00000003-7421-44D6-9A99-87E7BDC74A86}"/>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Table'!$C$40:$C$41</c:f>
              <c:strCache>
                <c:ptCount val="2"/>
                <c:pt idx="0">
                  <c:v>Admitted</c:v>
                </c:pt>
                <c:pt idx="1">
                  <c:v>Not Admitted</c:v>
                </c:pt>
              </c:strCache>
            </c:strRef>
          </c:cat>
          <c:val>
            <c:numRef>
              <c:f>'Pivot Table'!$C$40:$C$41</c:f>
              <c:numCache>
                <c:formatCode>General</c:formatCode>
                <c:ptCount val="2"/>
                <c:pt idx="0">
                  <c:v>485</c:v>
                </c:pt>
                <c:pt idx="1">
                  <c:v>450</c:v>
                </c:pt>
              </c:numCache>
            </c:numRef>
          </c:val>
          <c:extLst>
            <c:ext xmlns:c15="http://schemas.microsoft.com/office/drawing/2012/chart" uri="{02D57815-91ED-43cb-92C2-25804820EDAC}">
              <c15:datalabelsRange>
                <c15:f>'Pivot Table'!$C$40:$C$41</c15:f>
                <c15:dlblRangeCache>
                  <c:ptCount val="2"/>
                  <c:pt idx="0">
                    <c:v>51.87%</c:v>
                  </c:pt>
                  <c:pt idx="1">
                    <c:v>48.13%</c:v>
                  </c:pt>
                </c15:dlblRangeCache>
              </c15:datalabelsRange>
            </c:ext>
            <c:ext xmlns:c16="http://schemas.microsoft.com/office/drawing/2014/chart" uri="{C3380CC4-5D6E-409C-BE32-E72D297353CC}">
              <c16:uniqueId val="{00000000-7421-44D6-9A99-87E7BDC74A86}"/>
            </c:ext>
          </c:extLst>
        </c:ser>
        <c:ser>
          <c:idx val="1"/>
          <c:order val="1"/>
          <c:tx>
            <c:strRef>
              <c:f>'Pivot Table'!$C$40:$C$41</c:f>
              <c:strCache>
                <c:ptCount val="1"/>
                <c:pt idx="0">
                  <c:v>Count of Patient Admission Flag2</c:v>
                </c:pt>
              </c:strCache>
            </c:strRef>
          </c:tx>
          <c:spPr>
            <a:solidFill>
              <a:schemeClr val="accent2"/>
            </a:solidFill>
            <a:ln>
              <a:noFill/>
            </a:ln>
            <a:effectLst/>
          </c:spPr>
          <c:invertIfNegative val="0"/>
          <c:cat>
            <c:strRef>
              <c:f>'Pivot Table'!$C$40:$C$41</c:f>
              <c:strCache>
                <c:ptCount val="2"/>
                <c:pt idx="0">
                  <c:v>Admitted</c:v>
                </c:pt>
                <c:pt idx="1">
                  <c:v>Not Admitted</c:v>
                </c:pt>
              </c:strCache>
            </c:strRef>
          </c:cat>
          <c:val>
            <c:numRef>
              <c:f>'Pivot Table'!$C$40:$C$41</c:f>
              <c:numCache>
                <c:formatCode>0.00%</c:formatCode>
                <c:ptCount val="2"/>
                <c:pt idx="0">
                  <c:v>0.51871657754010692</c:v>
                </c:pt>
                <c:pt idx="1">
                  <c:v>0.48128342245989303</c:v>
                </c:pt>
              </c:numCache>
            </c:numRef>
          </c:val>
          <c:extLst>
            <c:ext xmlns:c16="http://schemas.microsoft.com/office/drawing/2014/chart" uri="{C3380CC4-5D6E-409C-BE32-E72D297353CC}">
              <c16:uniqueId val="{00000001-7421-44D6-9A99-87E7BDC74A86}"/>
            </c:ext>
          </c:extLst>
        </c:ser>
        <c:dLbls>
          <c:showLegendKey val="0"/>
          <c:showVal val="0"/>
          <c:showCatName val="0"/>
          <c:showSerName val="0"/>
          <c:showPercent val="0"/>
          <c:showBubbleSize val="0"/>
        </c:dLbls>
        <c:gapWidth val="42"/>
        <c:axId val="1750895936"/>
        <c:axId val="1919857136"/>
      </c:barChart>
      <c:catAx>
        <c:axId val="1750895936"/>
        <c:scaling>
          <c:orientation val="minMax"/>
        </c:scaling>
        <c:delete val="1"/>
        <c:axPos val="l"/>
        <c:numFmt formatCode="General" sourceLinked="1"/>
        <c:majorTickMark val="none"/>
        <c:minorTickMark val="none"/>
        <c:tickLblPos val="nextTo"/>
        <c:crossAx val="1919857136"/>
        <c:crosses val="autoZero"/>
        <c:auto val="1"/>
        <c:lblAlgn val="ctr"/>
        <c:lblOffset val="100"/>
        <c:noMultiLvlLbl val="0"/>
      </c:catAx>
      <c:valAx>
        <c:axId val="1919857136"/>
        <c:scaling>
          <c:orientation val="minMax"/>
        </c:scaling>
        <c:delete val="1"/>
        <c:axPos val="b"/>
        <c:numFmt formatCode="General" sourceLinked="1"/>
        <c:majorTickMark val="none"/>
        <c:minorTickMark val="none"/>
        <c:tickLblPos val="nextTo"/>
        <c:crossAx val="175089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Table!PivotTable11</c:name>
    <c:fmtId val="6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0926859142607177"/>
          <c:y val="0.12962962962962962"/>
          <c:w val="0.49166666666666664"/>
          <c:h val="0.81944444444444442"/>
        </c:manualLayout>
      </c:layout>
      <c:pieChart>
        <c:varyColors val="1"/>
        <c:ser>
          <c:idx val="0"/>
          <c:order val="0"/>
          <c:tx>
            <c:strRef>
              <c:f>'Pivot Table'!$B$65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E5-47FE-96F5-0A3D9E0D94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E5-47FE-96F5-0A3D9E0D94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Table'!$A$66:$A$68</c:f>
              <c:strCache>
                <c:ptCount val="2"/>
                <c:pt idx="0">
                  <c:v>Delay</c:v>
                </c:pt>
                <c:pt idx="1">
                  <c:v>Ontime</c:v>
                </c:pt>
              </c:strCache>
            </c:strRef>
          </c:cat>
          <c:val>
            <c:numRef>
              <c:f>'Pivot Table'!$B$66:$B$68</c:f>
              <c:numCache>
                <c:formatCode>0%</c:formatCode>
                <c:ptCount val="2"/>
                <c:pt idx="0">
                  <c:v>0.57219251336898391</c:v>
                </c:pt>
                <c:pt idx="1">
                  <c:v>0.42780748663101603</c:v>
                </c:pt>
              </c:numCache>
            </c:numRef>
          </c:val>
          <c:extLst>
            <c:ext xmlns:c16="http://schemas.microsoft.com/office/drawing/2014/chart" uri="{C3380CC4-5D6E-409C-BE32-E72D297353CC}">
              <c16:uniqueId val="{00000000-92D0-42ED-9CF8-0E73B7722D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32964829396325457"/>
          <c:y val="5.7815689705453485E-4"/>
          <c:w val="0.2453517060367454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Table!PivotTable12</c:name>
    <c:fmtId val="7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257414698162729"/>
          <c:y val="0.16666666666666666"/>
          <c:w val="0.46944444444444444"/>
          <c:h val="0.78240740740740744"/>
        </c:manualLayout>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A6-4E22-B509-3329A0752D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A6-4E22-B509-3329A0752DF3}"/>
              </c:ext>
            </c:extLst>
          </c:dPt>
          <c:cat>
            <c:strRef>
              <c:f>'Pivot Table'!$A$72:$A$74</c:f>
              <c:strCache>
                <c:ptCount val="2"/>
                <c:pt idx="0">
                  <c:v>Female</c:v>
                </c:pt>
                <c:pt idx="1">
                  <c:v>Male</c:v>
                </c:pt>
              </c:strCache>
            </c:strRef>
          </c:cat>
          <c:val>
            <c:numRef>
              <c:f>'Pivot Table'!$B$72:$B$74</c:f>
              <c:numCache>
                <c:formatCode>0</c:formatCode>
                <c:ptCount val="2"/>
                <c:pt idx="0">
                  <c:v>456</c:v>
                </c:pt>
                <c:pt idx="1">
                  <c:v>479</c:v>
                </c:pt>
              </c:numCache>
            </c:numRef>
          </c:val>
          <c:extLst>
            <c:ext xmlns:c16="http://schemas.microsoft.com/office/drawing/2014/chart" uri="{C3380CC4-5D6E-409C-BE32-E72D297353CC}">
              <c16:uniqueId val="{00000000-6FA9-4A18-A77C-25B1686C73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2903718285214351"/>
          <c:y val="2.3934456109652932E-2"/>
          <c:w val="0.3404072615923009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Table'!$E$5</c:f>
              <c:strCache>
                <c:ptCount val="1"/>
                <c:pt idx="0">
                  <c:v>Total</c:v>
                </c:pt>
              </c:strCache>
            </c:strRef>
          </c:tx>
          <c:spPr>
            <a:solidFill>
              <a:schemeClr val="accent1"/>
            </a:solidFill>
            <a:ln>
              <a:noFill/>
            </a:ln>
            <a:effectLst/>
          </c:spPr>
          <c:cat>
            <c:strRef>
              <c:f>'Pivot Table'!$D$6:$D$36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Table'!$E$6:$E$36</c:f>
              <c:numCache>
                <c:formatCode>General</c:formatCode>
                <c:ptCount val="30"/>
                <c:pt idx="0">
                  <c:v>35</c:v>
                </c:pt>
                <c:pt idx="1">
                  <c:v>35</c:v>
                </c:pt>
                <c:pt idx="2">
                  <c:v>37</c:v>
                </c:pt>
                <c:pt idx="3">
                  <c:v>31</c:v>
                </c:pt>
                <c:pt idx="4">
                  <c:v>24</c:v>
                </c:pt>
                <c:pt idx="5">
                  <c:v>28</c:v>
                </c:pt>
                <c:pt idx="6">
                  <c:v>29</c:v>
                </c:pt>
                <c:pt idx="7">
                  <c:v>34</c:v>
                </c:pt>
                <c:pt idx="8">
                  <c:v>32</c:v>
                </c:pt>
                <c:pt idx="9">
                  <c:v>29</c:v>
                </c:pt>
                <c:pt idx="10">
                  <c:v>21</c:v>
                </c:pt>
                <c:pt idx="11">
                  <c:v>29</c:v>
                </c:pt>
                <c:pt idx="12">
                  <c:v>24</c:v>
                </c:pt>
                <c:pt idx="13">
                  <c:v>28</c:v>
                </c:pt>
                <c:pt idx="14">
                  <c:v>44</c:v>
                </c:pt>
                <c:pt idx="15">
                  <c:v>35</c:v>
                </c:pt>
                <c:pt idx="16">
                  <c:v>38</c:v>
                </c:pt>
                <c:pt idx="17">
                  <c:v>28</c:v>
                </c:pt>
                <c:pt idx="18">
                  <c:v>34</c:v>
                </c:pt>
                <c:pt idx="19">
                  <c:v>26</c:v>
                </c:pt>
                <c:pt idx="20">
                  <c:v>36</c:v>
                </c:pt>
                <c:pt idx="21">
                  <c:v>32</c:v>
                </c:pt>
                <c:pt idx="22">
                  <c:v>25</c:v>
                </c:pt>
                <c:pt idx="23">
                  <c:v>30</c:v>
                </c:pt>
                <c:pt idx="24">
                  <c:v>29</c:v>
                </c:pt>
                <c:pt idx="25">
                  <c:v>32</c:v>
                </c:pt>
                <c:pt idx="26">
                  <c:v>29</c:v>
                </c:pt>
                <c:pt idx="27">
                  <c:v>33</c:v>
                </c:pt>
                <c:pt idx="28">
                  <c:v>32</c:v>
                </c:pt>
                <c:pt idx="29">
                  <c:v>36</c:v>
                </c:pt>
              </c:numCache>
            </c:numRef>
          </c:val>
          <c:extLst>
            <c:ext xmlns:c16="http://schemas.microsoft.com/office/drawing/2014/chart" uri="{C3380CC4-5D6E-409C-BE32-E72D297353CC}">
              <c16:uniqueId val="{00000000-9181-472F-90CA-35D70AD2E68B}"/>
            </c:ext>
          </c:extLst>
        </c:ser>
        <c:dLbls>
          <c:showLegendKey val="0"/>
          <c:showVal val="0"/>
          <c:showCatName val="0"/>
          <c:showSerName val="0"/>
          <c:showPercent val="0"/>
          <c:showBubbleSize val="0"/>
        </c:dLbls>
        <c:axId val="1753740160"/>
        <c:axId val="1726307504"/>
      </c:areaChart>
      <c:catAx>
        <c:axId val="1753740160"/>
        <c:scaling>
          <c:orientation val="minMax"/>
        </c:scaling>
        <c:delete val="1"/>
        <c:axPos val="b"/>
        <c:numFmt formatCode="General" sourceLinked="1"/>
        <c:majorTickMark val="out"/>
        <c:minorTickMark val="none"/>
        <c:tickLblPos val="nextTo"/>
        <c:crossAx val="1726307504"/>
        <c:crosses val="autoZero"/>
        <c:auto val="1"/>
        <c:lblAlgn val="ctr"/>
        <c:lblOffset val="100"/>
        <c:noMultiLvlLbl val="0"/>
      </c:catAx>
      <c:valAx>
        <c:axId val="1726307504"/>
        <c:scaling>
          <c:orientation val="minMax"/>
        </c:scaling>
        <c:delete val="1"/>
        <c:axPos val="l"/>
        <c:numFmt formatCode="General" sourceLinked="1"/>
        <c:majorTickMark val="none"/>
        <c:minorTickMark val="none"/>
        <c:tickLblPos val="nextTo"/>
        <c:crossAx val="1753740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Table'!$P$5</c:f>
              <c:strCache>
                <c:ptCount val="1"/>
                <c:pt idx="0">
                  <c:v>Total</c:v>
                </c:pt>
              </c:strCache>
            </c:strRef>
          </c:tx>
          <c:spPr>
            <a:solidFill>
              <a:schemeClr val="accent1"/>
            </a:solidFill>
            <a:ln>
              <a:noFill/>
            </a:ln>
            <a:effectLst/>
          </c:spPr>
          <c:cat>
            <c:strRef>
              <c:f>'Pivot Table'!$O$6:$O$36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Table'!$P$6:$P$36</c:f>
              <c:numCache>
                <c:formatCode>General</c:formatCode>
                <c:ptCount val="30"/>
                <c:pt idx="0">
                  <c:v>36.057142857142857</c:v>
                </c:pt>
                <c:pt idx="1">
                  <c:v>35.828571428571429</c:v>
                </c:pt>
                <c:pt idx="2">
                  <c:v>35.297297297297298</c:v>
                </c:pt>
                <c:pt idx="3">
                  <c:v>33</c:v>
                </c:pt>
                <c:pt idx="4">
                  <c:v>38.958333333333336</c:v>
                </c:pt>
                <c:pt idx="5">
                  <c:v>37.428571428571431</c:v>
                </c:pt>
                <c:pt idx="6">
                  <c:v>36.068965517241381</c:v>
                </c:pt>
                <c:pt idx="7">
                  <c:v>32.235294117647058</c:v>
                </c:pt>
                <c:pt idx="8">
                  <c:v>37.71875</c:v>
                </c:pt>
                <c:pt idx="9">
                  <c:v>31.275862068965516</c:v>
                </c:pt>
                <c:pt idx="10">
                  <c:v>35.857142857142854</c:v>
                </c:pt>
                <c:pt idx="11">
                  <c:v>33.068965517241381</c:v>
                </c:pt>
                <c:pt idx="12">
                  <c:v>34.708333333333336</c:v>
                </c:pt>
                <c:pt idx="13">
                  <c:v>35.357142857142854</c:v>
                </c:pt>
                <c:pt idx="14">
                  <c:v>37.613636363636367</c:v>
                </c:pt>
                <c:pt idx="15">
                  <c:v>33.514285714285712</c:v>
                </c:pt>
                <c:pt idx="16">
                  <c:v>32.131578947368418</c:v>
                </c:pt>
                <c:pt idx="17">
                  <c:v>37.571428571428569</c:v>
                </c:pt>
                <c:pt idx="18">
                  <c:v>31.911764705882351</c:v>
                </c:pt>
                <c:pt idx="19">
                  <c:v>34.03846153846154</c:v>
                </c:pt>
                <c:pt idx="20">
                  <c:v>33.722222222222221</c:v>
                </c:pt>
                <c:pt idx="21">
                  <c:v>31.5625</c:v>
                </c:pt>
                <c:pt idx="22">
                  <c:v>37.24</c:v>
                </c:pt>
                <c:pt idx="23">
                  <c:v>34.9</c:v>
                </c:pt>
                <c:pt idx="24">
                  <c:v>35.413793103448278</c:v>
                </c:pt>
                <c:pt idx="25">
                  <c:v>33.5625</c:v>
                </c:pt>
                <c:pt idx="26">
                  <c:v>32.586206896551722</c:v>
                </c:pt>
                <c:pt idx="27">
                  <c:v>33.030303030303031</c:v>
                </c:pt>
                <c:pt idx="28">
                  <c:v>33.25</c:v>
                </c:pt>
                <c:pt idx="29">
                  <c:v>36.611111111111114</c:v>
                </c:pt>
              </c:numCache>
            </c:numRef>
          </c:val>
          <c:extLst>
            <c:ext xmlns:c16="http://schemas.microsoft.com/office/drawing/2014/chart" uri="{C3380CC4-5D6E-409C-BE32-E72D297353CC}">
              <c16:uniqueId val="{00000000-DB1A-49FB-BA38-1CC98738FCC5}"/>
            </c:ext>
          </c:extLst>
        </c:ser>
        <c:dLbls>
          <c:showLegendKey val="0"/>
          <c:showVal val="0"/>
          <c:showCatName val="0"/>
          <c:showSerName val="0"/>
          <c:showPercent val="0"/>
          <c:showBubbleSize val="0"/>
        </c:dLbls>
        <c:axId val="1749099056"/>
        <c:axId val="1726306064"/>
      </c:areaChart>
      <c:catAx>
        <c:axId val="1749099056"/>
        <c:scaling>
          <c:orientation val="minMax"/>
        </c:scaling>
        <c:delete val="1"/>
        <c:axPos val="b"/>
        <c:numFmt formatCode="General" sourceLinked="1"/>
        <c:majorTickMark val="out"/>
        <c:minorTickMark val="none"/>
        <c:tickLblPos val="nextTo"/>
        <c:crossAx val="1726306064"/>
        <c:crosses val="autoZero"/>
        <c:auto val="1"/>
        <c:lblAlgn val="ctr"/>
        <c:lblOffset val="100"/>
        <c:noMultiLvlLbl val="0"/>
      </c:catAx>
      <c:valAx>
        <c:axId val="1726306064"/>
        <c:scaling>
          <c:orientation val="minMax"/>
        </c:scaling>
        <c:delete val="1"/>
        <c:axPos val="l"/>
        <c:numFmt formatCode="General" sourceLinked="1"/>
        <c:majorTickMark val="none"/>
        <c:minorTickMark val="none"/>
        <c:tickLblPos val="nextTo"/>
        <c:crossAx val="174909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Table!PivotTable7</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Table'!$S$5</c:f>
              <c:strCache>
                <c:ptCount val="1"/>
                <c:pt idx="0">
                  <c:v>Total</c:v>
                </c:pt>
              </c:strCache>
            </c:strRef>
          </c:tx>
          <c:spPr>
            <a:solidFill>
              <a:schemeClr val="accent1"/>
            </a:solidFill>
            <a:ln>
              <a:noFill/>
            </a:ln>
            <a:effectLst/>
          </c:spPr>
          <c:cat>
            <c:strRef>
              <c:f>'Pivot Table'!$R$6:$R$36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Table'!$S$6:$S$36</c:f>
              <c:numCache>
                <c:formatCode>General</c:formatCode>
                <c:ptCount val="30"/>
                <c:pt idx="0">
                  <c:v>4</c:v>
                </c:pt>
                <c:pt idx="1">
                  <c:v>4.625</c:v>
                </c:pt>
                <c:pt idx="2">
                  <c:v>3.75</c:v>
                </c:pt>
                <c:pt idx="3">
                  <c:v>6.333333333333333</c:v>
                </c:pt>
                <c:pt idx="4">
                  <c:v>6.4</c:v>
                </c:pt>
                <c:pt idx="5">
                  <c:v>5.0999999999999996</c:v>
                </c:pt>
                <c:pt idx="6">
                  <c:v>4.1428571428571432</c:v>
                </c:pt>
                <c:pt idx="7">
                  <c:v>5.8</c:v>
                </c:pt>
                <c:pt idx="8">
                  <c:v>3.8333333333333335</c:v>
                </c:pt>
                <c:pt idx="9">
                  <c:v>4</c:v>
                </c:pt>
                <c:pt idx="10">
                  <c:v>6.833333333333333</c:v>
                </c:pt>
                <c:pt idx="11">
                  <c:v>4.833333333333333</c:v>
                </c:pt>
                <c:pt idx="12">
                  <c:v>4</c:v>
                </c:pt>
                <c:pt idx="13">
                  <c:v>5.7142857142857144</c:v>
                </c:pt>
                <c:pt idx="14">
                  <c:v>4.384615384615385</c:v>
                </c:pt>
                <c:pt idx="15">
                  <c:v>5.5</c:v>
                </c:pt>
                <c:pt idx="16">
                  <c:v>5.8888888888888893</c:v>
                </c:pt>
                <c:pt idx="17">
                  <c:v>6.1818181818181817</c:v>
                </c:pt>
                <c:pt idx="18">
                  <c:v>4</c:v>
                </c:pt>
                <c:pt idx="19">
                  <c:v>4.333333333333333</c:v>
                </c:pt>
                <c:pt idx="20">
                  <c:v>4.8461538461538458</c:v>
                </c:pt>
                <c:pt idx="21">
                  <c:v>3</c:v>
                </c:pt>
                <c:pt idx="22">
                  <c:v>3.8333333333333335</c:v>
                </c:pt>
                <c:pt idx="23">
                  <c:v>6.5</c:v>
                </c:pt>
                <c:pt idx="24">
                  <c:v>5.7</c:v>
                </c:pt>
                <c:pt idx="25">
                  <c:v>4.5714285714285712</c:v>
                </c:pt>
                <c:pt idx="26">
                  <c:v>3.2727272727272729</c:v>
                </c:pt>
                <c:pt idx="27">
                  <c:v>3</c:v>
                </c:pt>
                <c:pt idx="28">
                  <c:v>7.2857142857142856</c:v>
                </c:pt>
                <c:pt idx="29">
                  <c:v>5.7142857142857144</c:v>
                </c:pt>
              </c:numCache>
            </c:numRef>
          </c:val>
          <c:extLst>
            <c:ext xmlns:c16="http://schemas.microsoft.com/office/drawing/2014/chart" uri="{C3380CC4-5D6E-409C-BE32-E72D297353CC}">
              <c16:uniqueId val="{00000000-0D2B-44CE-AA23-E442E2D59390}"/>
            </c:ext>
          </c:extLst>
        </c:ser>
        <c:dLbls>
          <c:showLegendKey val="0"/>
          <c:showVal val="0"/>
          <c:showCatName val="0"/>
          <c:showSerName val="0"/>
          <c:showPercent val="0"/>
          <c:showBubbleSize val="0"/>
        </c:dLbls>
        <c:axId val="1749125040"/>
        <c:axId val="1919769776"/>
      </c:areaChart>
      <c:catAx>
        <c:axId val="1749125040"/>
        <c:scaling>
          <c:orientation val="minMax"/>
        </c:scaling>
        <c:delete val="1"/>
        <c:axPos val="b"/>
        <c:numFmt formatCode="General" sourceLinked="1"/>
        <c:majorTickMark val="out"/>
        <c:minorTickMark val="none"/>
        <c:tickLblPos val="nextTo"/>
        <c:crossAx val="1919769776"/>
        <c:crosses val="autoZero"/>
        <c:auto val="1"/>
        <c:lblAlgn val="ctr"/>
        <c:lblOffset val="100"/>
        <c:noMultiLvlLbl val="0"/>
      </c:catAx>
      <c:valAx>
        <c:axId val="1919769776"/>
        <c:scaling>
          <c:orientation val="minMax"/>
        </c:scaling>
        <c:delete val="1"/>
        <c:axPos val="l"/>
        <c:numFmt formatCode="General" sourceLinked="1"/>
        <c:majorTickMark val="none"/>
        <c:minorTickMark val="none"/>
        <c:tickLblPos val="nextTo"/>
        <c:crossAx val="1749125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Table!PivotTable9</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Table'!$A$53:$A$61</c:f>
              <c:strCache>
                <c:ptCount val="8"/>
                <c:pt idx="0">
                  <c:v>0-09</c:v>
                </c:pt>
                <c:pt idx="1">
                  <c:v>10-19</c:v>
                </c:pt>
                <c:pt idx="2">
                  <c:v>20-29</c:v>
                </c:pt>
                <c:pt idx="3">
                  <c:v>30-39</c:v>
                </c:pt>
                <c:pt idx="4">
                  <c:v>40-49</c:v>
                </c:pt>
                <c:pt idx="5">
                  <c:v>50-59</c:v>
                </c:pt>
                <c:pt idx="6">
                  <c:v>60-69</c:v>
                </c:pt>
                <c:pt idx="7">
                  <c:v>70-79</c:v>
                </c:pt>
              </c:strCache>
            </c:strRef>
          </c:cat>
          <c:val>
            <c:numRef>
              <c:f>'Pivot Table'!$B$53:$B$61</c:f>
              <c:numCache>
                <c:formatCode>0</c:formatCode>
                <c:ptCount val="8"/>
                <c:pt idx="0">
                  <c:v>119</c:v>
                </c:pt>
                <c:pt idx="1">
                  <c:v>117</c:v>
                </c:pt>
                <c:pt idx="2">
                  <c:v>122</c:v>
                </c:pt>
                <c:pt idx="3">
                  <c:v>120</c:v>
                </c:pt>
                <c:pt idx="4">
                  <c:v>131</c:v>
                </c:pt>
                <c:pt idx="5">
                  <c:v>114</c:v>
                </c:pt>
                <c:pt idx="6">
                  <c:v>115</c:v>
                </c:pt>
                <c:pt idx="7">
                  <c:v>97</c:v>
                </c:pt>
              </c:numCache>
            </c:numRef>
          </c:val>
          <c:extLst>
            <c:ext xmlns:c16="http://schemas.microsoft.com/office/drawing/2014/chart" uri="{C3380CC4-5D6E-409C-BE32-E72D297353CC}">
              <c16:uniqueId val="{00000000-2279-4EAD-A87F-76826B67A10B}"/>
            </c:ext>
          </c:extLst>
        </c:ser>
        <c:dLbls>
          <c:showLegendKey val="0"/>
          <c:showVal val="0"/>
          <c:showCatName val="0"/>
          <c:showSerName val="0"/>
          <c:showPercent val="0"/>
          <c:showBubbleSize val="0"/>
        </c:dLbls>
        <c:gapWidth val="219"/>
        <c:overlap val="-27"/>
        <c:axId val="1988286319"/>
        <c:axId val="1942489967"/>
      </c:barChart>
      <c:catAx>
        <c:axId val="198828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89967"/>
        <c:crosses val="autoZero"/>
        <c:auto val="1"/>
        <c:lblAlgn val="ctr"/>
        <c:lblOffset val="100"/>
        <c:noMultiLvlLbl val="0"/>
      </c:catAx>
      <c:valAx>
        <c:axId val="1942489967"/>
        <c:scaling>
          <c:orientation val="minMax"/>
        </c:scaling>
        <c:delete val="1"/>
        <c:axPos val="l"/>
        <c:numFmt formatCode="0" sourceLinked="1"/>
        <c:majorTickMark val="none"/>
        <c:minorTickMark val="none"/>
        <c:tickLblPos val="nextTo"/>
        <c:crossAx val="198828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Table!PivotTable11</c:name>
    <c:fmtId val="7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719362180611429"/>
          <c:y val="0.10898512685914262"/>
          <c:w val="0.49166666666666664"/>
          <c:h val="0.81944444444444442"/>
        </c:manualLayout>
      </c:layout>
      <c:pieChart>
        <c:varyColors val="1"/>
        <c:ser>
          <c:idx val="0"/>
          <c:order val="0"/>
          <c:tx>
            <c:strRef>
              <c:f>'Pivot Table'!$B$65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0-48D9-9104-8766FE14E1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0-48D9-9104-8766FE14E1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Table'!$A$66:$A$68</c:f>
              <c:strCache>
                <c:ptCount val="2"/>
                <c:pt idx="0">
                  <c:v>Delay</c:v>
                </c:pt>
                <c:pt idx="1">
                  <c:v>Ontime</c:v>
                </c:pt>
              </c:strCache>
            </c:strRef>
          </c:cat>
          <c:val>
            <c:numRef>
              <c:f>'Pivot Table'!$B$66:$B$68</c:f>
              <c:numCache>
                <c:formatCode>0%</c:formatCode>
                <c:ptCount val="2"/>
                <c:pt idx="0">
                  <c:v>0.57219251336898391</c:v>
                </c:pt>
                <c:pt idx="1">
                  <c:v>0.42780748663101603</c:v>
                </c:pt>
              </c:numCache>
            </c:numRef>
          </c:val>
          <c:extLst>
            <c:ext xmlns:c16="http://schemas.microsoft.com/office/drawing/2014/chart" uri="{C3380CC4-5D6E-409C-BE32-E72D297353CC}">
              <c16:uniqueId val="{00000004-7EE0-48D9-9104-8766FE14E14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6342310635201677"/>
          <c:y val="5.7815689705453485E-4"/>
          <c:w val="0.3115769544847283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Table!PivotTable12</c:name>
    <c:fmtId val="9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881233595800524"/>
          <c:y val="0.15917602996254682"/>
          <c:w val="0.61250000000000004"/>
          <c:h val="0.8258426966292135"/>
        </c:manualLayout>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34-4032-B024-822AAFF81A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34-4032-B024-822AAFF81A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Table'!$A$72:$A$74</c:f>
              <c:strCache>
                <c:ptCount val="2"/>
                <c:pt idx="0">
                  <c:v>Female</c:v>
                </c:pt>
                <c:pt idx="1">
                  <c:v>Male</c:v>
                </c:pt>
              </c:strCache>
            </c:strRef>
          </c:cat>
          <c:val>
            <c:numRef>
              <c:f>'Pivot Table'!$B$72:$B$74</c:f>
              <c:numCache>
                <c:formatCode>0</c:formatCode>
                <c:ptCount val="2"/>
                <c:pt idx="0">
                  <c:v>456</c:v>
                </c:pt>
                <c:pt idx="1">
                  <c:v>479</c:v>
                </c:pt>
              </c:numCache>
            </c:numRef>
          </c:val>
          <c:extLst>
            <c:ext xmlns:c16="http://schemas.microsoft.com/office/drawing/2014/chart" uri="{C3380CC4-5D6E-409C-BE32-E72D297353CC}">
              <c16:uniqueId val="{00000004-FE34-4032-B024-822AAFF81A0F}"/>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25407961504811899"/>
          <c:y val="1.4627385060013553E-3"/>
          <c:w val="0.497136378562491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Table!PivotTable13</c:name>
    <c:fmtId val="9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778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5958005249342"/>
          <c:y val="3.8910505836575876E-2"/>
          <c:w val="0.78064041994750655"/>
          <c:h val="0.96108949416342415"/>
        </c:manualLayout>
      </c:layout>
      <c:barChart>
        <c:barDir val="bar"/>
        <c:grouping val="clustered"/>
        <c:varyColors val="0"/>
        <c:ser>
          <c:idx val="0"/>
          <c:order val="0"/>
          <c:tx>
            <c:strRef>
              <c:f>'Pivot Table'!$B$78</c:f>
              <c:strCache>
                <c:ptCount val="1"/>
                <c:pt idx="0">
                  <c:v>Total</c:v>
                </c:pt>
              </c:strCache>
            </c:strRef>
          </c:tx>
          <c:spPr>
            <a:solidFill>
              <a:schemeClr val="accent1"/>
            </a:solidFill>
            <a:ln>
              <a:noFill/>
            </a:ln>
            <a:effectLst>
              <a:glow rad="177800">
                <a:schemeClr val="bg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Table'!$A$79:$A$87</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 Table'!$B$79:$B$87</c:f>
              <c:numCache>
                <c:formatCode>0</c:formatCode>
                <c:ptCount val="8"/>
                <c:pt idx="0">
                  <c:v>533</c:v>
                </c:pt>
                <c:pt idx="1">
                  <c:v>205</c:v>
                </c:pt>
                <c:pt idx="2">
                  <c:v>95</c:v>
                </c:pt>
                <c:pt idx="3">
                  <c:v>29</c:v>
                </c:pt>
                <c:pt idx="4">
                  <c:v>22</c:v>
                </c:pt>
                <c:pt idx="5">
                  <c:v>22</c:v>
                </c:pt>
                <c:pt idx="6">
                  <c:v>17</c:v>
                </c:pt>
                <c:pt idx="7">
                  <c:v>12</c:v>
                </c:pt>
              </c:numCache>
            </c:numRef>
          </c:val>
          <c:extLst>
            <c:ext xmlns:c16="http://schemas.microsoft.com/office/drawing/2014/chart" uri="{C3380CC4-5D6E-409C-BE32-E72D297353CC}">
              <c16:uniqueId val="{00000000-EB66-4E4C-9AEC-87E175FD6182}"/>
            </c:ext>
          </c:extLst>
        </c:ser>
        <c:dLbls>
          <c:showLegendKey val="0"/>
          <c:showVal val="0"/>
          <c:showCatName val="0"/>
          <c:showSerName val="0"/>
          <c:showPercent val="0"/>
          <c:showBubbleSize val="0"/>
        </c:dLbls>
        <c:gapWidth val="42"/>
        <c:axId val="567446784"/>
        <c:axId val="1942511087"/>
      </c:barChart>
      <c:catAx>
        <c:axId val="56744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11087"/>
        <c:crosses val="autoZero"/>
        <c:auto val="1"/>
        <c:lblAlgn val="ctr"/>
        <c:lblOffset val="100"/>
        <c:noMultiLvlLbl val="0"/>
      </c:catAx>
      <c:valAx>
        <c:axId val="1942511087"/>
        <c:scaling>
          <c:orientation val="minMax"/>
        </c:scaling>
        <c:delete val="1"/>
        <c:axPos val="b"/>
        <c:numFmt formatCode="0" sourceLinked="1"/>
        <c:majorTickMark val="none"/>
        <c:minorTickMark val="none"/>
        <c:tickLblPos val="nextTo"/>
        <c:crossAx val="56744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Table!PivotTable4</c:name>
    <c:fmtId val="1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22741530922823E-2"/>
          <c:y val="0.25131091721642901"/>
          <c:w val="0.86959780249198337"/>
          <c:h val="0.54587997446265157"/>
        </c:manualLayout>
      </c:layout>
      <c:areaChart>
        <c:grouping val="standard"/>
        <c:varyColors val="0"/>
        <c:ser>
          <c:idx val="0"/>
          <c:order val="0"/>
          <c:tx>
            <c:strRef>
              <c:f>'Pivot Table'!$E$5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Table'!$E$6:$E$36</c:f>
              <c:numCache>
                <c:formatCode>General</c:formatCode>
                <c:ptCount val="30"/>
                <c:pt idx="0">
                  <c:v>35</c:v>
                </c:pt>
                <c:pt idx="1">
                  <c:v>35</c:v>
                </c:pt>
                <c:pt idx="2">
                  <c:v>37</c:v>
                </c:pt>
                <c:pt idx="3">
                  <c:v>31</c:v>
                </c:pt>
                <c:pt idx="4">
                  <c:v>24</c:v>
                </c:pt>
                <c:pt idx="5">
                  <c:v>28</c:v>
                </c:pt>
                <c:pt idx="6">
                  <c:v>29</c:v>
                </c:pt>
                <c:pt idx="7">
                  <c:v>34</c:v>
                </c:pt>
                <c:pt idx="8">
                  <c:v>32</c:v>
                </c:pt>
                <c:pt idx="9">
                  <c:v>29</c:v>
                </c:pt>
                <c:pt idx="10">
                  <c:v>21</c:v>
                </c:pt>
                <c:pt idx="11">
                  <c:v>29</c:v>
                </c:pt>
                <c:pt idx="12">
                  <c:v>24</c:v>
                </c:pt>
                <c:pt idx="13">
                  <c:v>28</c:v>
                </c:pt>
                <c:pt idx="14">
                  <c:v>44</c:v>
                </c:pt>
                <c:pt idx="15">
                  <c:v>35</c:v>
                </c:pt>
                <c:pt idx="16">
                  <c:v>38</c:v>
                </c:pt>
                <c:pt idx="17">
                  <c:v>28</c:v>
                </c:pt>
                <c:pt idx="18">
                  <c:v>34</c:v>
                </c:pt>
                <c:pt idx="19">
                  <c:v>26</c:v>
                </c:pt>
                <c:pt idx="20">
                  <c:v>36</c:v>
                </c:pt>
                <c:pt idx="21">
                  <c:v>32</c:v>
                </c:pt>
                <c:pt idx="22">
                  <c:v>25</c:v>
                </c:pt>
                <c:pt idx="23">
                  <c:v>30</c:v>
                </c:pt>
                <c:pt idx="24">
                  <c:v>29</c:v>
                </c:pt>
                <c:pt idx="25">
                  <c:v>32</c:v>
                </c:pt>
                <c:pt idx="26">
                  <c:v>29</c:v>
                </c:pt>
                <c:pt idx="27">
                  <c:v>33</c:v>
                </c:pt>
                <c:pt idx="28">
                  <c:v>32</c:v>
                </c:pt>
                <c:pt idx="29">
                  <c:v>36</c:v>
                </c:pt>
              </c:numCache>
            </c:numRef>
          </c:val>
          <c:extLst>
            <c:ext xmlns:c16="http://schemas.microsoft.com/office/drawing/2014/chart" uri="{C3380CC4-5D6E-409C-BE32-E72D297353CC}">
              <c16:uniqueId val="{00000000-58BB-40B9-9469-DF19962014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17072736"/>
        <c:axId val="1726308464"/>
      </c:areaChart>
      <c:catAx>
        <c:axId val="17170727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6308464"/>
        <c:crosses val="autoZero"/>
        <c:auto val="1"/>
        <c:lblAlgn val="ctr"/>
        <c:lblOffset val="100"/>
        <c:noMultiLvlLbl val="0"/>
      </c:catAx>
      <c:valAx>
        <c:axId val="1726308464"/>
        <c:scaling>
          <c:orientation val="minMax"/>
        </c:scaling>
        <c:delete val="1"/>
        <c:axPos val="l"/>
        <c:numFmt formatCode="General" sourceLinked="1"/>
        <c:majorTickMark val="out"/>
        <c:minorTickMark val="none"/>
        <c:tickLblPos val="nextTo"/>
        <c:crossAx val="1717072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Table!PivotTable6</c:name>
    <c:fmtId val="2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0851063829787156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5766149194064763E-17"/>
              <c:y val="8.0851063829787309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34E-3"/>
              <c:y val="0.12340425531914886"/>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17E-3"/>
              <c:y val="-6.8085106382978808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17E-3"/>
              <c:y val="8.510638297872348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0.13617021276595753"/>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063E-3"/>
              <c:y val="-6.808510638297872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34E-3"/>
              <c:y val="0.14042553191489354"/>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3941537298516191E-17"/>
              <c:y val="-5.957446808510646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17E-3"/>
              <c:y val="5.9574468085106386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202E-3"/>
              <c:y val="-7.234042553191488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207E-3"/>
              <c:y val="6.808510638297872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4.5627376425855515E-3"/>
              <c:y val="-0.10638297872340434"/>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3.404255319148936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1459E-3"/>
              <c:y val="2.127659574468085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4056E-3"/>
              <c:y val="9.361702127659574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153229838812953E-16"/>
              <c:y val="-4.255319148936170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5106382978723333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4056E-3"/>
              <c:y val="-0.12340425531914893"/>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34E-3"/>
              <c:y val="0.1063829787234041"/>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153229838812953E-16"/>
              <c:y val="-4.255319148936177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8085106382978808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7.531380753138082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6.694560669456074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1072553502929645E-17"/>
              <c:y val="7.949790794979079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1072553502929645E-17"/>
              <c:y val="-2.510460251046032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3.347280334728033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694560669456074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857740585774066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4.1841004184100493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5.020920502092050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4290214011718579E-17"/>
              <c:y val="4.18410041841003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2988505747127278E-3"/>
              <c:y val="-8.3682008368200916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4290214011718579E-17"/>
              <c:y val="7.949790794979079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6858042802343716E-16"/>
              <c:y val="-6.694560669456066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85774058577405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5.439330543933046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0.16317991631799164"/>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Table'!$P$5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1"/>
            <c:bubble3D val="0"/>
            <c:extLst>
              <c:ext xmlns:c16="http://schemas.microsoft.com/office/drawing/2014/chart" uri="{C3380CC4-5D6E-409C-BE32-E72D297353CC}">
                <c16:uniqueId val="{0000000D-8A50-4CB6-8B7C-2F936AE60BF3}"/>
              </c:ext>
            </c:extLst>
          </c:dPt>
          <c:dPt>
            <c:idx val="4"/>
            <c:bubble3D val="0"/>
            <c:extLst>
              <c:ext xmlns:c16="http://schemas.microsoft.com/office/drawing/2014/chart" uri="{C3380CC4-5D6E-409C-BE32-E72D297353CC}">
                <c16:uniqueId val="{0000000A-8A50-4CB6-8B7C-2F936AE60BF3}"/>
              </c:ext>
            </c:extLst>
          </c:dPt>
          <c:dPt>
            <c:idx val="5"/>
            <c:bubble3D val="0"/>
            <c:extLst>
              <c:ext xmlns:c16="http://schemas.microsoft.com/office/drawing/2014/chart" uri="{C3380CC4-5D6E-409C-BE32-E72D297353CC}">
                <c16:uniqueId val="{00000009-8A50-4CB6-8B7C-2F936AE60BF3}"/>
              </c:ext>
            </c:extLst>
          </c:dPt>
          <c:dPt>
            <c:idx val="6"/>
            <c:bubble3D val="0"/>
            <c:extLst>
              <c:ext xmlns:c16="http://schemas.microsoft.com/office/drawing/2014/chart" uri="{C3380CC4-5D6E-409C-BE32-E72D297353CC}">
                <c16:uniqueId val="{00000000-DEED-450F-968F-EF9F3453DCCB}"/>
              </c:ext>
            </c:extLst>
          </c:dPt>
          <c:dPt>
            <c:idx val="8"/>
            <c:bubble3D val="0"/>
            <c:extLst>
              <c:ext xmlns:c16="http://schemas.microsoft.com/office/drawing/2014/chart" uri="{C3380CC4-5D6E-409C-BE32-E72D297353CC}">
                <c16:uniqueId val="{00000007-8A50-4CB6-8B7C-2F936AE60BF3}"/>
              </c:ext>
            </c:extLst>
          </c:dPt>
          <c:dPt>
            <c:idx val="10"/>
            <c:bubble3D val="0"/>
            <c:extLst>
              <c:ext xmlns:c16="http://schemas.microsoft.com/office/drawing/2014/chart" uri="{C3380CC4-5D6E-409C-BE32-E72D297353CC}">
                <c16:uniqueId val="{00000002-8A50-4CB6-8B7C-2F936AE60BF3}"/>
              </c:ext>
            </c:extLst>
          </c:dPt>
          <c:dPt>
            <c:idx val="12"/>
            <c:bubble3D val="0"/>
            <c:extLst>
              <c:ext xmlns:c16="http://schemas.microsoft.com/office/drawing/2014/chart" uri="{C3380CC4-5D6E-409C-BE32-E72D297353CC}">
                <c16:uniqueId val="{00000001-DEED-450F-968F-EF9F3453DCCB}"/>
              </c:ext>
            </c:extLst>
          </c:dPt>
          <c:dPt>
            <c:idx val="14"/>
            <c:bubble3D val="0"/>
            <c:extLst>
              <c:ext xmlns:c16="http://schemas.microsoft.com/office/drawing/2014/chart" uri="{C3380CC4-5D6E-409C-BE32-E72D297353CC}">
                <c16:uniqueId val="{00000003-8A50-4CB6-8B7C-2F936AE60BF3}"/>
              </c:ext>
            </c:extLst>
          </c:dPt>
          <c:dPt>
            <c:idx val="16"/>
            <c:bubble3D val="0"/>
            <c:extLst>
              <c:ext xmlns:c16="http://schemas.microsoft.com/office/drawing/2014/chart" uri="{C3380CC4-5D6E-409C-BE32-E72D297353CC}">
                <c16:uniqueId val="{00000005-8A50-4CB6-8B7C-2F936AE60BF3}"/>
              </c:ext>
            </c:extLst>
          </c:dPt>
          <c:dPt>
            <c:idx val="17"/>
            <c:bubble3D val="0"/>
            <c:extLst>
              <c:ext xmlns:c16="http://schemas.microsoft.com/office/drawing/2014/chart" uri="{C3380CC4-5D6E-409C-BE32-E72D297353CC}">
                <c16:uniqueId val="{00000006-8A50-4CB6-8B7C-2F936AE60BF3}"/>
              </c:ext>
            </c:extLst>
          </c:dPt>
          <c:dPt>
            <c:idx val="19"/>
            <c:bubble3D val="0"/>
            <c:extLst>
              <c:ext xmlns:c16="http://schemas.microsoft.com/office/drawing/2014/chart" uri="{C3380CC4-5D6E-409C-BE32-E72D297353CC}">
                <c16:uniqueId val="{00000002-DEED-450F-968F-EF9F3453DCCB}"/>
              </c:ext>
            </c:extLst>
          </c:dPt>
          <c:dPt>
            <c:idx val="20"/>
            <c:bubble3D val="0"/>
            <c:extLst>
              <c:ext xmlns:c16="http://schemas.microsoft.com/office/drawing/2014/chart" uri="{C3380CC4-5D6E-409C-BE32-E72D297353CC}">
                <c16:uniqueId val="{0000000F-8A50-4CB6-8B7C-2F936AE60BF3}"/>
              </c:ext>
            </c:extLst>
          </c:dPt>
          <c:dPt>
            <c:idx val="24"/>
            <c:bubble3D val="0"/>
            <c:extLst>
              <c:ext xmlns:c16="http://schemas.microsoft.com/office/drawing/2014/chart" uri="{C3380CC4-5D6E-409C-BE32-E72D297353CC}">
                <c16:uniqueId val="{00000003-DEED-450F-968F-EF9F3453DCCB}"/>
              </c:ext>
            </c:extLst>
          </c:dPt>
          <c:dPt>
            <c:idx val="26"/>
            <c:bubble3D val="0"/>
            <c:extLst>
              <c:ext xmlns:c16="http://schemas.microsoft.com/office/drawing/2014/chart" uri="{C3380CC4-5D6E-409C-BE32-E72D297353CC}">
                <c16:uniqueId val="{00000014-8A50-4CB6-8B7C-2F936AE60BF3}"/>
              </c:ext>
            </c:extLst>
          </c:dPt>
          <c:dPt>
            <c:idx val="27"/>
            <c:bubble3D val="0"/>
            <c:extLst>
              <c:ext xmlns:c16="http://schemas.microsoft.com/office/drawing/2014/chart" uri="{C3380CC4-5D6E-409C-BE32-E72D297353CC}">
                <c16:uniqueId val="{00000015-8A50-4CB6-8B7C-2F936AE60BF3}"/>
              </c:ext>
            </c:extLst>
          </c:dPt>
          <c:dPt>
            <c:idx val="29"/>
            <c:bubble3D val="0"/>
            <c:extLst>
              <c:ext xmlns:c16="http://schemas.microsoft.com/office/drawing/2014/chart" uri="{C3380CC4-5D6E-409C-BE32-E72D297353CC}">
                <c16:uniqueId val="{00000004-DEED-450F-968F-EF9F3453DCCB}"/>
              </c:ext>
            </c:extLst>
          </c:dPt>
          <c:dLbls>
            <c:dLbl>
              <c:idx val="1"/>
              <c:layout>
                <c:manualLayout>
                  <c:x val="1.1494252873563218E-3"/>
                  <c:y val="-7.5313807531380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50-4CB6-8B7C-2F936AE60BF3}"/>
                </c:ext>
              </c:extLst>
            </c:dLbl>
            <c:dLbl>
              <c:idx val="4"/>
              <c:layout>
                <c:manualLayout>
                  <c:x val="1.1494252873563218E-3"/>
                  <c:y val="-6.694560669456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50-4CB6-8B7C-2F936AE60BF3}"/>
                </c:ext>
              </c:extLst>
            </c:dLbl>
            <c:dLbl>
              <c:idx val="5"/>
              <c:layout>
                <c:manualLayout>
                  <c:x val="-2.1072553502929645E-17"/>
                  <c:y val="7.9497907949790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50-4CB6-8B7C-2F936AE60BF3}"/>
                </c:ext>
              </c:extLst>
            </c:dLbl>
            <c:dLbl>
              <c:idx val="6"/>
              <c:layout>
                <c:manualLayout>
                  <c:x val="-2.1072553502929645E-17"/>
                  <c:y val="-2.5104602510460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ED-450F-968F-EF9F3453DCCB}"/>
                </c:ext>
              </c:extLst>
            </c:dLbl>
            <c:dLbl>
              <c:idx val="8"/>
              <c:layout>
                <c:manualLayout>
                  <c:x val="0"/>
                  <c:y val="-3.3472803347280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50-4CB6-8B7C-2F936AE60BF3}"/>
                </c:ext>
              </c:extLst>
            </c:dLbl>
            <c:dLbl>
              <c:idx val="10"/>
              <c:layout>
                <c:manualLayout>
                  <c:x val="0"/>
                  <c:y val="-6.694560669456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50-4CB6-8B7C-2F936AE60BF3}"/>
                </c:ext>
              </c:extLst>
            </c:dLbl>
            <c:dLbl>
              <c:idx val="12"/>
              <c:layout>
                <c:manualLayout>
                  <c:x val="0"/>
                  <c:y val="-5.85774058577406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ED-450F-968F-EF9F3453DCCB}"/>
                </c:ext>
              </c:extLst>
            </c:dLbl>
            <c:dLbl>
              <c:idx val="14"/>
              <c:layout>
                <c:manualLayout>
                  <c:x val="1.1494252873563218E-3"/>
                  <c:y val="-4.18410041841004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50-4CB6-8B7C-2F936AE60BF3}"/>
                </c:ext>
              </c:extLst>
            </c:dLbl>
            <c:dLbl>
              <c:idx val="16"/>
              <c:layout>
                <c:manualLayout>
                  <c:x val="-8.4290214011718579E-17"/>
                  <c:y val="4.184100418410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50-4CB6-8B7C-2F936AE60BF3}"/>
                </c:ext>
              </c:extLst>
            </c:dLbl>
            <c:dLbl>
              <c:idx val="17"/>
              <c:layout>
                <c:manualLayout>
                  <c:x val="1.1494252873563218E-3"/>
                  <c:y val="-5.0209205020920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50-4CB6-8B7C-2F936AE60BF3}"/>
                </c:ext>
              </c:extLst>
            </c:dLbl>
            <c:dLbl>
              <c:idx val="19"/>
              <c:layout>
                <c:manualLayout>
                  <c:x val="8.4290214011718579E-17"/>
                  <c:y val="7.9497907949790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ED-450F-968F-EF9F3453DCCB}"/>
                </c:ext>
              </c:extLst>
            </c:dLbl>
            <c:dLbl>
              <c:idx val="20"/>
              <c:layout>
                <c:manualLayout>
                  <c:x val="-2.2988505747127278E-3"/>
                  <c:y val="-8.368200836820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50-4CB6-8B7C-2F936AE60BF3}"/>
                </c:ext>
              </c:extLst>
            </c:dLbl>
            <c:dLbl>
              <c:idx val="24"/>
              <c:layout>
                <c:manualLayout>
                  <c:x val="-1.6858042802343716E-16"/>
                  <c:y val="-6.6945606694560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ED-450F-968F-EF9F3453DCCB}"/>
                </c:ext>
              </c:extLst>
            </c:dLbl>
            <c:dLbl>
              <c:idx val="26"/>
              <c:layout>
                <c:manualLayout>
                  <c:x val="-1.1494252873563218E-3"/>
                  <c:y val="-5.43933054393304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A50-4CB6-8B7C-2F936AE60BF3}"/>
                </c:ext>
              </c:extLst>
            </c:dLbl>
            <c:dLbl>
              <c:idx val="27"/>
              <c:layout>
                <c:manualLayout>
                  <c:x val="0"/>
                  <c:y val="5.857740585774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A50-4CB6-8B7C-2F936AE60BF3}"/>
                </c:ext>
              </c:extLst>
            </c:dLbl>
            <c:dLbl>
              <c:idx val="29"/>
              <c:layout>
                <c:manualLayout>
                  <c:x val="-1.1494252873563218E-3"/>
                  <c:y val="0.16317991631799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ED-450F-968F-EF9F3453DCCB}"/>
                </c:ext>
              </c:extLst>
            </c:dLbl>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Table'!$O$6:$O$36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Table'!$P$6:$P$36</c:f>
              <c:numCache>
                <c:formatCode>General</c:formatCode>
                <c:ptCount val="30"/>
                <c:pt idx="0">
                  <c:v>36.057142857142857</c:v>
                </c:pt>
                <c:pt idx="1">
                  <c:v>35.828571428571429</c:v>
                </c:pt>
                <c:pt idx="2">
                  <c:v>35.297297297297298</c:v>
                </c:pt>
                <c:pt idx="3">
                  <c:v>33</c:v>
                </c:pt>
                <c:pt idx="4">
                  <c:v>38.958333333333336</c:v>
                </c:pt>
                <c:pt idx="5">
                  <c:v>37.428571428571431</c:v>
                </c:pt>
                <c:pt idx="6">
                  <c:v>36.068965517241381</c:v>
                </c:pt>
                <c:pt idx="7">
                  <c:v>32.235294117647058</c:v>
                </c:pt>
                <c:pt idx="8">
                  <c:v>37.71875</c:v>
                </c:pt>
                <c:pt idx="9">
                  <c:v>31.275862068965516</c:v>
                </c:pt>
                <c:pt idx="10">
                  <c:v>35.857142857142854</c:v>
                </c:pt>
                <c:pt idx="11">
                  <c:v>33.068965517241381</c:v>
                </c:pt>
                <c:pt idx="12">
                  <c:v>34.708333333333336</c:v>
                </c:pt>
                <c:pt idx="13">
                  <c:v>35.357142857142854</c:v>
                </c:pt>
                <c:pt idx="14">
                  <c:v>37.613636363636367</c:v>
                </c:pt>
                <c:pt idx="15">
                  <c:v>33.514285714285712</c:v>
                </c:pt>
                <c:pt idx="16">
                  <c:v>32.131578947368418</c:v>
                </c:pt>
                <c:pt idx="17">
                  <c:v>37.571428571428569</c:v>
                </c:pt>
                <c:pt idx="18">
                  <c:v>31.911764705882351</c:v>
                </c:pt>
                <c:pt idx="19">
                  <c:v>34.03846153846154</c:v>
                </c:pt>
                <c:pt idx="20">
                  <c:v>33.722222222222221</c:v>
                </c:pt>
                <c:pt idx="21">
                  <c:v>31.5625</c:v>
                </c:pt>
                <c:pt idx="22">
                  <c:v>37.24</c:v>
                </c:pt>
                <c:pt idx="23">
                  <c:v>34.9</c:v>
                </c:pt>
                <c:pt idx="24">
                  <c:v>35.413793103448278</c:v>
                </c:pt>
                <c:pt idx="25">
                  <c:v>33.5625</c:v>
                </c:pt>
                <c:pt idx="26">
                  <c:v>32.586206896551722</c:v>
                </c:pt>
                <c:pt idx="27">
                  <c:v>33.030303030303031</c:v>
                </c:pt>
                <c:pt idx="28">
                  <c:v>33.25</c:v>
                </c:pt>
                <c:pt idx="29">
                  <c:v>36.611111111111114</c:v>
                </c:pt>
              </c:numCache>
            </c:numRef>
          </c:val>
          <c:extLst>
            <c:ext xmlns:c16="http://schemas.microsoft.com/office/drawing/2014/chart" uri="{C3380CC4-5D6E-409C-BE32-E72D297353CC}">
              <c16:uniqueId val="{00000000-8A50-4CB6-8B7C-2F936AE60BF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50908000"/>
        <c:axId val="1919870096"/>
      </c:areaChart>
      <c:catAx>
        <c:axId val="17509080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9870096"/>
        <c:crosses val="autoZero"/>
        <c:auto val="1"/>
        <c:lblAlgn val="ctr"/>
        <c:lblOffset val="100"/>
        <c:noMultiLvlLbl val="0"/>
      </c:catAx>
      <c:valAx>
        <c:axId val="1919870096"/>
        <c:scaling>
          <c:orientation val="minMax"/>
        </c:scaling>
        <c:delete val="1"/>
        <c:axPos val="l"/>
        <c:numFmt formatCode="General" sourceLinked="1"/>
        <c:majorTickMark val="out"/>
        <c:minorTickMark val="none"/>
        <c:tickLblPos val="nextTo"/>
        <c:crossAx val="1750908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Table!PivotTable7</c:name>
    <c:fmtId val="4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071590052750565E-3"/>
              <c:y val="0.161825726141078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9.54356846473028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763092923519034E-17"/>
              <c:y val="-4.14937759336099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39419087136929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22406639004148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97925311203320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5261858470380679E-17"/>
              <c:y val="-2.9045643153526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071590052750565E-3"/>
              <c:y val="-7.4688796680498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052371694076136E-16"/>
              <c:y val="-9.95850622406639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143180105502237E-3"/>
              <c:y val="-7.4688796680497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5768989696134682E-17"/>
              <c:y val="7.4688796680497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5768989696134682E-17"/>
              <c:y val="5.80912863070539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97925311203319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17"/>
            <c:bubble3D val="0"/>
            <c:extLst>
              <c:ext xmlns:c16="http://schemas.microsoft.com/office/drawing/2014/chart" uri="{C3380CC4-5D6E-409C-BE32-E72D297353CC}">
                <c16:uniqueId val="{00000000-7B58-4C2D-B39F-6C90685F88CB}"/>
              </c:ext>
            </c:extLst>
          </c:dPt>
          <c:dPt>
            <c:idx val="18"/>
            <c:bubble3D val="0"/>
            <c:extLst>
              <c:ext xmlns:c16="http://schemas.microsoft.com/office/drawing/2014/chart" uri="{C3380CC4-5D6E-409C-BE32-E72D297353CC}">
                <c16:uniqueId val="{00000001-7B58-4C2D-B39F-6C90685F88CB}"/>
              </c:ext>
            </c:extLst>
          </c:dPt>
          <c:dPt>
            <c:idx val="20"/>
            <c:bubble3D val="0"/>
            <c:extLst>
              <c:ext xmlns:c16="http://schemas.microsoft.com/office/drawing/2014/chart" uri="{C3380CC4-5D6E-409C-BE32-E72D297353CC}">
                <c16:uniqueId val="{00000008-7053-48B9-86D5-A61B7DAA5B5C}"/>
              </c:ext>
            </c:extLst>
          </c:dPt>
          <c:dLbls>
            <c:dLbl>
              <c:idx val="17"/>
              <c:layout>
                <c:manualLayout>
                  <c:x val="-8.5768989696134682E-17"/>
                  <c:y val="7.4688796680497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58-4C2D-B39F-6C90685F88CB}"/>
                </c:ext>
              </c:extLst>
            </c:dLbl>
            <c:dLbl>
              <c:idx val="18"/>
              <c:layout>
                <c:manualLayout>
                  <c:x val="-8.5768989696134682E-17"/>
                  <c:y val="5.8091286307053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58-4C2D-B39F-6C90685F88CB}"/>
                </c:ext>
              </c:extLst>
            </c:dLbl>
            <c:dLbl>
              <c:idx val="20"/>
              <c:layout>
                <c:manualLayout>
                  <c:x val="0"/>
                  <c:y val="-4.9792531120331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53-48B9-86D5-A61B7DAA5B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Table'!$R$6:$R$36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Table'!$S$6:$S$36</c:f>
              <c:numCache>
                <c:formatCode>General</c:formatCode>
                <c:ptCount val="30"/>
                <c:pt idx="0">
                  <c:v>4</c:v>
                </c:pt>
                <c:pt idx="1">
                  <c:v>4.625</c:v>
                </c:pt>
                <c:pt idx="2">
                  <c:v>3.75</c:v>
                </c:pt>
                <c:pt idx="3">
                  <c:v>6.333333333333333</c:v>
                </c:pt>
                <c:pt idx="4">
                  <c:v>6.4</c:v>
                </c:pt>
                <c:pt idx="5">
                  <c:v>5.0999999999999996</c:v>
                </c:pt>
                <c:pt idx="6">
                  <c:v>4.1428571428571432</c:v>
                </c:pt>
                <c:pt idx="7">
                  <c:v>5.8</c:v>
                </c:pt>
                <c:pt idx="8">
                  <c:v>3.8333333333333335</c:v>
                </c:pt>
                <c:pt idx="9">
                  <c:v>4</c:v>
                </c:pt>
                <c:pt idx="10">
                  <c:v>6.833333333333333</c:v>
                </c:pt>
                <c:pt idx="11">
                  <c:v>4.833333333333333</c:v>
                </c:pt>
                <c:pt idx="12">
                  <c:v>4</c:v>
                </c:pt>
                <c:pt idx="13">
                  <c:v>5.7142857142857144</c:v>
                </c:pt>
                <c:pt idx="14">
                  <c:v>4.384615384615385</c:v>
                </c:pt>
                <c:pt idx="15">
                  <c:v>5.5</c:v>
                </c:pt>
                <c:pt idx="16">
                  <c:v>5.8888888888888893</c:v>
                </c:pt>
                <c:pt idx="17">
                  <c:v>6.1818181818181817</c:v>
                </c:pt>
                <c:pt idx="18">
                  <c:v>4</c:v>
                </c:pt>
                <c:pt idx="19">
                  <c:v>4.333333333333333</c:v>
                </c:pt>
                <c:pt idx="20">
                  <c:v>4.8461538461538458</c:v>
                </c:pt>
                <c:pt idx="21">
                  <c:v>3</c:v>
                </c:pt>
                <c:pt idx="22">
                  <c:v>3.8333333333333335</c:v>
                </c:pt>
                <c:pt idx="23">
                  <c:v>6.5</c:v>
                </c:pt>
                <c:pt idx="24">
                  <c:v>5.7</c:v>
                </c:pt>
                <c:pt idx="25">
                  <c:v>4.5714285714285712</c:v>
                </c:pt>
                <c:pt idx="26">
                  <c:v>3.2727272727272729</c:v>
                </c:pt>
                <c:pt idx="27">
                  <c:v>3</c:v>
                </c:pt>
                <c:pt idx="28">
                  <c:v>7.2857142857142856</c:v>
                </c:pt>
                <c:pt idx="29">
                  <c:v>5.7142857142857144</c:v>
                </c:pt>
              </c:numCache>
            </c:numRef>
          </c:val>
          <c:extLst>
            <c:ext xmlns:c16="http://schemas.microsoft.com/office/drawing/2014/chart" uri="{C3380CC4-5D6E-409C-BE32-E72D297353CC}">
              <c16:uniqueId val="{00000000-7053-48B9-86D5-A61B7DAA5B5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49125040"/>
        <c:axId val="1919769776"/>
      </c:areaChart>
      <c:catAx>
        <c:axId val="17491250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9769776"/>
        <c:crosses val="autoZero"/>
        <c:auto val="1"/>
        <c:lblAlgn val="ctr"/>
        <c:lblOffset val="100"/>
        <c:noMultiLvlLbl val="0"/>
      </c:catAx>
      <c:valAx>
        <c:axId val="1919769776"/>
        <c:scaling>
          <c:orientation val="minMax"/>
        </c:scaling>
        <c:delete val="1"/>
        <c:axPos val="l"/>
        <c:numFmt formatCode="General" sourceLinked="1"/>
        <c:majorTickMark val="out"/>
        <c:minorTickMark val="none"/>
        <c:tickLblPos val="nextTo"/>
        <c:crossAx val="1749125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hyperlink" Target="#'Average Wait Time'!A1"/><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emf"/><Relationship Id="rId5" Type="http://schemas.openxmlformats.org/officeDocument/2006/relationships/hyperlink" Target="#'Daily ER No. Of Patient'!A1"/><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hyperlink" Target="#'Satisfaction Score Trend'!A1"/><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7.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844550</xdr:colOff>
      <xdr:row>45</xdr:row>
      <xdr:rowOff>12700</xdr:rowOff>
    </xdr:from>
    <xdr:to>
      <xdr:col>4</xdr:col>
      <xdr:colOff>146050</xdr:colOff>
      <xdr:row>48</xdr:row>
      <xdr:rowOff>190500</xdr:rowOff>
    </xdr:to>
    <xdr:graphicFrame macro="">
      <xdr:nvGraphicFramePr>
        <xdr:cNvPr id="13" name="Chart 12">
          <a:extLst>
            <a:ext uri="{FF2B5EF4-FFF2-40B4-BE49-F238E27FC236}">
              <a16:creationId xmlns:a16="http://schemas.microsoft.com/office/drawing/2014/main" id="{4AB47EE3-8A44-8490-850C-8028604B4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92075</xdr:colOff>
      <xdr:row>63</xdr:row>
      <xdr:rowOff>127000</xdr:rowOff>
    </xdr:from>
    <xdr:to>
      <xdr:col>4</xdr:col>
      <xdr:colOff>615950</xdr:colOff>
      <xdr:row>69</xdr:row>
      <xdr:rowOff>101600</xdr:rowOff>
    </xdr:to>
    <xdr:graphicFrame macro="">
      <xdr:nvGraphicFramePr>
        <xdr:cNvPr id="6" name="Chart 5">
          <a:extLst>
            <a:ext uri="{FF2B5EF4-FFF2-40B4-BE49-F238E27FC236}">
              <a16:creationId xmlns:a16="http://schemas.microsoft.com/office/drawing/2014/main" id="{63446E0D-1959-AD9F-732D-3D43149F9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806450</xdr:colOff>
      <xdr:row>69</xdr:row>
      <xdr:rowOff>177800</xdr:rowOff>
    </xdr:from>
    <xdr:to>
      <xdr:col>3</xdr:col>
      <xdr:colOff>1685924</xdr:colOff>
      <xdr:row>76</xdr:row>
      <xdr:rowOff>120650</xdr:rowOff>
    </xdr:to>
    <xdr:graphicFrame macro="">
      <xdr:nvGraphicFramePr>
        <xdr:cNvPr id="8" name="Chart 7">
          <a:extLst>
            <a:ext uri="{FF2B5EF4-FFF2-40B4-BE49-F238E27FC236}">
              <a16:creationId xmlns:a16="http://schemas.microsoft.com/office/drawing/2014/main" id="{FE732EC7-C26F-5D5F-20FF-C7500428A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425450</xdr:colOff>
      <xdr:row>90</xdr:row>
      <xdr:rowOff>88901</xdr:rowOff>
    </xdr:from>
    <xdr:to>
      <xdr:col>3</xdr:col>
      <xdr:colOff>508000</xdr:colOff>
      <xdr:row>92</xdr:row>
      <xdr:rowOff>171450</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A83E74FA-7A40-1CFB-EF5F-758650C10CB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722033" y="21229109"/>
              <a:ext cx="1828800" cy="452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57150</xdr:colOff>
      <xdr:row>0</xdr:row>
      <xdr:rowOff>76200</xdr:rowOff>
    </xdr:from>
    <xdr:to>
      <xdr:col>7</xdr:col>
      <xdr:colOff>508000</xdr:colOff>
      <xdr:row>4</xdr:row>
      <xdr:rowOff>31750</xdr:rowOff>
    </xdr:to>
    <xdr:sp macro="" textlink="">
      <xdr:nvSpPr>
        <xdr:cNvPr id="3" name="Rectangle: Rounded Corners 2">
          <a:extLst>
            <a:ext uri="{FF2B5EF4-FFF2-40B4-BE49-F238E27FC236}">
              <a16:creationId xmlns:a16="http://schemas.microsoft.com/office/drawing/2014/main" id="{8EF4CA58-CCDA-CEDD-AE19-11A2DB627436}"/>
            </a:ext>
          </a:extLst>
        </xdr:cNvPr>
        <xdr:cNvSpPr/>
      </xdr:nvSpPr>
      <xdr:spPr>
        <a:xfrm>
          <a:off x="57150" y="76200"/>
          <a:ext cx="4718050" cy="6921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aseline="0"/>
            <a:t>                                   </a:t>
          </a:r>
        </a:p>
        <a:p>
          <a:pPr algn="l"/>
          <a:r>
            <a:rPr lang="en-US" sz="1100" baseline="0"/>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                                                            </a:t>
          </a:r>
          <a:r>
            <a:rPr lang="en-US" sz="1400" b="0" baseline="0">
              <a:solidFill>
                <a:schemeClr val="dk1"/>
              </a:solidFill>
              <a:effectLst/>
              <a:latin typeface="Times New Roman" panose="02020603050405020304" pitchFamily="18" charset="0"/>
              <a:ea typeface="+mn-ea"/>
              <a:cs typeface="Times New Roman" panose="02020603050405020304" pitchFamily="18" charset="0"/>
            </a:rPr>
            <a:t>Monthly Report</a:t>
          </a:r>
          <a:endParaRPr lang="en-US" sz="1400">
            <a:effectLst/>
            <a:latin typeface="Times New Roman" panose="02020603050405020304" pitchFamily="18" charset="0"/>
            <a:cs typeface="Times New Roman" panose="02020603050405020304" pitchFamily="18" charset="0"/>
          </a:endParaRPr>
        </a:p>
        <a:p>
          <a:pPr algn="l"/>
          <a:endParaRPr lang="en-US" sz="1100"/>
        </a:p>
      </xdr:txBody>
    </xdr:sp>
    <xdr:clientData/>
  </xdr:twoCellAnchor>
  <xdr:twoCellAnchor editAs="absolute">
    <xdr:from>
      <xdr:col>7</xdr:col>
      <xdr:colOff>571500</xdr:colOff>
      <xdr:row>0</xdr:row>
      <xdr:rowOff>63500</xdr:rowOff>
    </xdr:from>
    <xdr:to>
      <xdr:col>11</xdr:col>
      <xdr:colOff>165100</xdr:colOff>
      <xdr:row>4</xdr:row>
      <xdr:rowOff>31750</xdr:rowOff>
    </xdr:to>
    <xdr:sp macro="" textlink="">
      <xdr:nvSpPr>
        <xdr:cNvPr id="4" name="Rectangle: Rounded Corners 3">
          <a:extLst>
            <a:ext uri="{FF2B5EF4-FFF2-40B4-BE49-F238E27FC236}">
              <a16:creationId xmlns:a16="http://schemas.microsoft.com/office/drawing/2014/main" id="{D058CA1A-5C8B-FC91-C227-E67BDBE77BD6}"/>
            </a:ext>
          </a:extLst>
        </xdr:cNvPr>
        <xdr:cNvSpPr/>
      </xdr:nvSpPr>
      <xdr:spPr>
        <a:xfrm>
          <a:off x="4838700" y="63500"/>
          <a:ext cx="2032000" cy="7048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57150</xdr:colOff>
      <xdr:row>4</xdr:row>
      <xdr:rowOff>76200</xdr:rowOff>
    </xdr:from>
    <xdr:to>
      <xdr:col>2</xdr:col>
      <xdr:colOff>165100</xdr:colOff>
      <xdr:row>20</xdr:row>
      <xdr:rowOff>120650</xdr:rowOff>
    </xdr:to>
    <xdr:sp macro="" textlink="">
      <xdr:nvSpPr>
        <xdr:cNvPr id="9" name="Rectangle: Rounded Corners 8">
          <a:extLst>
            <a:ext uri="{FF2B5EF4-FFF2-40B4-BE49-F238E27FC236}">
              <a16:creationId xmlns:a16="http://schemas.microsoft.com/office/drawing/2014/main" id="{AF4C3064-A608-98FD-C1D0-499753B809B8}"/>
            </a:ext>
          </a:extLst>
        </xdr:cNvPr>
        <xdr:cNvSpPr/>
      </xdr:nvSpPr>
      <xdr:spPr>
        <a:xfrm>
          <a:off x="57150" y="812800"/>
          <a:ext cx="1327150" cy="2990850"/>
        </a:xfrm>
        <a:prstGeom prst="roundRect">
          <a:avLst>
            <a:gd name="adj" fmla="val 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203200</xdr:colOff>
      <xdr:row>4</xdr:row>
      <xdr:rowOff>69850</xdr:rowOff>
    </xdr:from>
    <xdr:to>
      <xdr:col>11</xdr:col>
      <xdr:colOff>177800</xdr:colOff>
      <xdr:row>8</xdr:row>
      <xdr:rowOff>120650</xdr:rowOff>
    </xdr:to>
    <xdr:grpSp>
      <xdr:nvGrpSpPr>
        <xdr:cNvPr id="16" name="Group 15">
          <a:extLst>
            <a:ext uri="{FF2B5EF4-FFF2-40B4-BE49-F238E27FC236}">
              <a16:creationId xmlns:a16="http://schemas.microsoft.com/office/drawing/2014/main" id="{647E429D-13C1-A899-3981-E1FF2ED7E818}"/>
            </a:ext>
          </a:extLst>
        </xdr:cNvPr>
        <xdr:cNvGrpSpPr/>
      </xdr:nvGrpSpPr>
      <xdr:grpSpPr>
        <a:xfrm>
          <a:off x="1458468" y="807720"/>
          <a:ext cx="5597652" cy="787908"/>
          <a:chOff x="1447800" y="825500"/>
          <a:chExt cx="5342255" cy="1022350"/>
        </a:xfrm>
      </xdr:grpSpPr>
      <xdr:sp macro="" textlink="">
        <xdr:nvSpPr>
          <xdr:cNvPr id="10" name="Rectangle: Rounded Corners 9">
            <a:extLst>
              <a:ext uri="{FF2B5EF4-FFF2-40B4-BE49-F238E27FC236}">
                <a16:creationId xmlns:a16="http://schemas.microsoft.com/office/drawing/2014/main" id="{946C51E4-0EA7-9BAE-FBB6-2B2E80624A30}"/>
              </a:ext>
            </a:extLst>
          </xdr:cNvPr>
          <xdr:cNvSpPr/>
        </xdr:nvSpPr>
        <xdr:spPr>
          <a:xfrm>
            <a:off x="1447800" y="825500"/>
            <a:ext cx="1735456" cy="10223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A9E68004-35BD-46F1-2B84-C49A887DA78B}"/>
              </a:ext>
            </a:extLst>
          </xdr:cNvPr>
          <xdr:cNvSpPr/>
        </xdr:nvSpPr>
        <xdr:spPr>
          <a:xfrm>
            <a:off x="3251200" y="825500"/>
            <a:ext cx="1735455" cy="10223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E2757B59-D21C-56AE-25FE-281A27EFE89F}"/>
              </a:ext>
            </a:extLst>
          </xdr:cNvPr>
          <xdr:cNvSpPr/>
        </xdr:nvSpPr>
        <xdr:spPr>
          <a:xfrm>
            <a:off x="5054600" y="825500"/>
            <a:ext cx="1735455" cy="10223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editAs="absolute">
    <xdr:from>
      <xdr:col>11</xdr:col>
      <xdr:colOff>228599</xdr:colOff>
      <xdr:row>0</xdr:row>
      <xdr:rowOff>57150</xdr:rowOff>
    </xdr:from>
    <xdr:to>
      <xdr:col>19</xdr:col>
      <xdr:colOff>114300</xdr:colOff>
      <xdr:row>10</xdr:row>
      <xdr:rowOff>171450</xdr:rowOff>
    </xdr:to>
    <xdr:grpSp>
      <xdr:nvGrpSpPr>
        <xdr:cNvPr id="20" name="Group 19">
          <a:extLst>
            <a:ext uri="{FF2B5EF4-FFF2-40B4-BE49-F238E27FC236}">
              <a16:creationId xmlns:a16="http://schemas.microsoft.com/office/drawing/2014/main" id="{2B0E06AA-747F-BB68-8E1C-306896E40056}"/>
            </a:ext>
          </a:extLst>
        </xdr:cNvPr>
        <xdr:cNvGrpSpPr/>
      </xdr:nvGrpSpPr>
      <xdr:grpSpPr>
        <a:xfrm>
          <a:off x="7107935" y="57912"/>
          <a:ext cx="4881373" cy="1958340"/>
          <a:chOff x="6921499" y="63500"/>
          <a:chExt cx="4749801" cy="2222500"/>
        </a:xfrm>
      </xdr:grpSpPr>
      <xdr:sp macro="" textlink="">
        <xdr:nvSpPr>
          <xdr:cNvPr id="7" name="Rectangle: Rounded Corners 6">
            <a:extLst>
              <a:ext uri="{FF2B5EF4-FFF2-40B4-BE49-F238E27FC236}">
                <a16:creationId xmlns:a16="http://schemas.microsoft.com/office/drawing/2014/main" id="{5D361DA1-B124-28A2-8C36-F07B1197A41D}"/>
              </a:ext>
            </a:extLst>
          </xdr:cNvPr>
          <xdr:cNvSpPr/>
        </xdr:nvSpPr>
        <xdr:spPr>
          <a:xfrm>
            <a:off x="6921499" y="82550"/>
            <a:ext cx="2349500" cy="2203450"/>
          </a:xfrm>
          <a:prstGeom prst="roundRect">
            <a:avLst>
              <a:gd name="adj" fmla="val 641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0688E901-F829-5EF6-EE79-A8CF14DC2F45}"/>
              </a:ext>
            </a:extLst>
          </xdr:cNvPr>
          <xdr:cNvSpPr/>
        </xdr:nvSpPr>
        <xdr:spPr>
          <a:xfrm>
            <a:off x="9321800" y="63500"/>
            <a:ext cx="2349500" cy="2203450"/>
          </a:xfrm>
          <a:prstGeom prst="roundRect">
            <a:avLst>
              <a:gd name="adj" fmla="val 838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editAs="absolute">
    <xdr:from>
      <xdr:col>2</xdr:col>
      <xdr:colOff>196850</xdr:colOff>
      <xdr:row>12</xdr:row>
      <xdr:rowOff>95250</xdr:rowOff>
    </xdr:from>
    <xdr:to>
      <xdr:col>11</xdr:col>
      <xdr:colOff>165100</xdr:colOff>
      <xdr:row>20</xdr:row>
      <xdr:rowOff>146050</xdr:rowOff>
    </xdr:to>
    <xdr:sp macro="" textlink="">
      <xdr:nvSpPr>
        <xdr:cNvPr id="19" name="Rectangle: Rounded Corners 18">
          <a:extLst>
            <a:ext uri="{FF2B5EF4-FFF2-40B4-BE49-F238E27FC236}">
              <a16:creationId xmlns:a16="http://schemas.microsoft.com/office/drawing/2014/main" id="{02803F8B-1CF7-4495-51D3-91AFED3F47B9}"/>
            </a:ext>
          </a:extLst>
        </xdr:cNvPr>
        <xdr:cNvSpPr/>
      </xdr:nvSpPr>
      <xdr:spPr>
        <a:xfrm>
          <a:off x="1416050" y="2305050"/>
          <a:ext cx="5454650" cy="1524000"/>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11</xdr:col>
      <xdr:colOff>209550</xdr:colOff>
      <xdr:row>11</xdr:row>
      <xdr:rowOff>31750</xdr:rowOff>
    </xdr:from>
    <xdr:to>
      <xdr:col>19</xdr:col>
      <xdr:colOff>95250</xdr:colOff>
      <xdr:row>20</xdr:row>
      <xdr:rowOff>139700</xdr:rowOff>
    </xdr:to>
    <xdr:sp macro="" textlink="">
      <xdr:nvSpPr>
        <xdr:cNvPr id="21" name="Rectangle: Rounded Corners 20">
          <a:extLst>
            <a:ext uri="{FF2B5EF4-FFF2-40B4-BE49-F238E27FC236}">
              <a16:creationId xmlns:a16="http://schemas.microsoft.com/office/drawing/2014/main" id="{76C19BB5-0491-45D5-5FB9-A660C85F8D17}"/>
            </a:ext>
          </a:extLst>
        </xdr:cNvPr>
        <xdr:cNvSpPr/>
      </xdr:nvSpPr>
      <xdr:spPr>
        <a:xfrm>
          <a:off x="6915150" y="2057400"/>
          <a:ext cx="4762500" cy="1765300"/>
        </a:xfrm>
        <a:prstGeom prst="roundRect">
          <a:avLst>
            <a:gd name="adj" fmla="val 551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546100</xdr:colOff>
      <xdr:row>0</xdr:row>
      <xdr:rowOff>127001</xdr:rowOff>
    </xdr:from>
    <xdr:to>
      <xdr:col>7</xdr:col>
      <xdr:colOff>419100</xdr:colOff>
      <xdr:row>2</xdr:row>
      <xdr:rowOff>63500</xdr:rowOff>
    </xdr:to>
    <xdr:sp macro="" textlink="">
      <xdr:nvSpPr>
        <xdr:cNvPr id="23" name="TextBox 22">
          <a:extLst>
            <a:ext uri="{FF2B5EF4-FFF2-40B4-BE49-F238E27FC236}">
              <a16:creationId xmlns:a16="http://schemas.microsoft.com/office/drawing/2014/main" id="{2708BDDA-9E29-D936-2A0F-2941D1C4BE69}"/>
            </a:ext>
          </a:extLst>
        </xdr:cNvPr>
        <xdr:cNvSpPr txBox="1"/>
      </xdr:nvSpPr>
      <xdr:spPr>
        <a:xfrm>
          <a:off x="1155700" y="127001"/>
          <a:ext cx="35306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Times New Roman" panose="02020603050405020304" pitchFamily="18" charset="0"/>
              <a:ea typeface="+mn-ea"/>
              <a:cs typeface="Times New Roman" panose="02020603050405020304" pitchFamily="18" charset="0"/>
            </a:rPr>
            <a:t>Hospital Emergency</a:t>
          </a:r>
          <a:r>
            <a:rPr lang="en-US" sz="1600" b="1" baseline="0">
              <a:solidFill>
                <a:schemeClr val="dk1"/>
              </a:solidFill>
              <a:effectLst/>
              <a:latin typeface="Times New Roman" panose="02020603050405020304" pitchFamily="18" charset="0"/>
              <a:ea typeface="+mn-ea"/>
              <a:cs typeface="Times New Roman" panose="02020603050405020304" pitchFamily="18" charset="0"/>
            </a:rPr>
            <a:t> Room Dashboard</a:t>
          </a:r>
        </a:p>
      </xdr:txBody>
    </xdr:sp>
    <xdr:clientData/>
  </xdr:twoCellAnchor>
  <xdr:twoCellAnchor editAs="oneCell">
    <xdr:from>
      <xdr:col>0</xdr:col>
      <xdr:colOff>241300</xdr:colOff>
      <xdr:row>0</xdr:row>
      <xdr:rowOff>0</xdr:rowOff>
    </xdr:from>
    <xdr:to>
      <xdr:col>1</xdr:col>
      <xdr:colOff>488950</xdr:colOff>
      <xdr:row>4</xdr:row>
      <xdr:rowOff>105104</xdr:rowOff>
    </xdr:to>
    <xdr:pic>
      <xdr:nvPicPr>
        <xdr:cNvPr id="26" name="Picture 25">
          <a:extLst>
            <a:ext uri="{FF2B5EF4-FFF2-40B4-BE49-F238E27FC236}">
              <a16:creationId xmlns:a16="http://schemas.microsoft.com/office/drawing/2014/main" id="{15812DD7-7E52-478E-A975-BD48619319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009" r="18011"/>
        <a:stretch>
          <a:fillRect/>
        </a:stretch>
      </xdr:blipFill>
      <xdr:spPr>
        <a:xfrm>
          <a:off x="241300" y="0"/>
          <a:ext cx="857250" cy="841704"/>
        </a:xfrm>
        <a:prstGeom prst="rect">
          <a:avLst/>
        </a:prstGeom>
      </xdr:spPr>
    </xdr:pic>
    <xdr:clientData/>
  </xdr:twoCellAnchor>
  <xdr:oneCellAnchor>
    <xdr:from>
      <xdr:col>3</xdr:col>
      <xdr:colOff>279400</xdr:colOff>
      <xdr:row>2</xdr:row>
      <xdr:rowOff>50800</xdr:rowOff>
    </xdr:from>
    <xdr:ext cx="1336713" cy="292100"/>
    <xdr:sp macro="" textlink="">
      <xdr:nvSpPr>
        <xdr:cNvPr id="28" name="TextBox 27">
          <a:extLst>
            <a:ext uri="{FF2B5EF4-FFF2-40B4-BE49-F238E27FC236}">
              <a16:creationId xmlns:a16="http://schemas.microsoft.com/office/drawing/2014/main" id="{E192FE64-8FB1-8E6F-2166-A3E90559327D}"/>
            </a:ext>
          </a:extLst>
        </xdr:cNvPr>
        <xdr:cNvSpPr txBox="1"/>
      </xdr:nvSpPr>
      <xdr:spPr>
        <a:xfrm>
          <a:off x="2108200" y="419100"/>
          <a:ext cx="1336713" cy="292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tx1"/>
              </a:solidFill>
              <a:effectLst/>
              <a:latin typeface="Times New Roman" panose="02020603050405020304" pitchFamily="18" charset="0"/>
              <a:ea typeface="+mn-ea"/>
              <a:cs typeface="Times New Roman" panose="02020603050405020304" pitchFamily="18" charset="0"/>
            </a:rPr>
            <a:t>Monthly Report</a:t>
          </a:r>
          <a:endParaRPr lang="en-US" sz="1400">
            <a:effectLst/>
            <a:latin typeface="Times New Roman" panose="02020603050405020304" pitchFamily="18" charset="0"/>
            <a:cs typeface="Times New Roman" panose="02020603050405020304" pitchFamily="18" charset="0"/>
          </a:endParaRPr>
        </a:p>
        <a:p>
          <a:endParaRPr lang="en-US" sz="1100"/>
        </a:p>
      </xdr:txBody>
    </xdr:sp>
    <xdr:clientData/>
  </xdr:oneCellAnchor>
  <xdr:twoCellAnchor>
    <xdr:from>
      <xdr:col>2</xdr:col>
      <xdr:colOff>574674</xdr:colOff>
      <xdr:row>5</xdr:row>
      <xdr:rowOff>152400</xdr:rowOff>
    </xdr:from>
    <xdr:to>
      <xdr:col>5</xdr:col>
      <xdr:colOff>222250</xdr:colOff>
      <xdr:row>7</xdr:row>
      <xdr:rowOff>95250</xdr:rowOff>
    </xdr:to>
    <xdr:sp macro="" textlink="">
      <xdr:nvSpPr>
        <xdr:cNvPr id="31" name="TextBox 30">
          <a:extLst>
            <a:ext uri="{FF2B5EF4-FFF2-40B4-BE49-F238E27FC236}">
              <a16:creationId xmlns:a16="http://schemas.microsoft.com/office/drawing/2014/main" id="{AF7D1D0B-1FC5-639B-70E5-CADC59C0BFA0}"/>
            </a:ext>
          </a:extLst>
        </xdr:cNvPr>
        <xdr:cNvSpPr txBox="1"/>
      </xdr:nvSpPr>
      <xdr:spPr>
        <a:xfrm>
          <a:off x="1793874" y="107315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No. Of Patients</a:t>
          </a:r>
        </a:p>
      </xdr:txBody>
    </xdr:sp>
    <xdr:clientData/>
  </xdr:twoCellAnchor>
  <xdr:twoCellAnchor>
    <xdr:from>
      <xdr:col>2</xdr:col>
      <xdr:colOff>336550</xdr:colOff>
      <xdr:row>4</xdr:row>
      <xdr:rowOff>76200</xdr:rowOff>
    </xdr:from>
    <xdr:to>
      <xdr:col>4</xdr:col>
      <xdr:colOff>593726</xdr:colOff>
      <xdr:row>6</xdr:row>
      <xdr:rowOff>19050</xdr:rowOff>
    </xdr:to>
    <xdr:sp macro="" textlink="'Pivot Table'!A6">
      <xdr:nvSpPr>
        <xdr:cNvPr id="35" name="TextBox 34">
          <a:extLst>
            <a:ext uri="{FF2B5EF4-FFF2-40B4-BE49-F238E27FC236}">
              <a16:creationId xmlns:a16="http://schemas.microsoft.com/office/drawing/2014/main" id="{9FD9D4F5-CAB2-47B6-8F29-F128FD700A28}"/>
            </a:ext>
          </a:extLst>
        </xdr:cNvPr>
        <xdr:cNvSpPr txBox="1"/>
      </xdr:nvSpPr>
      <xdr:spPr>
        <a:xfrm>
          <a:off x="1555750" y="81280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0AE70E-8B08-4046-8B86-53AD3F28E51F}" type="TxLink">
            <a:rPr lang="en-US" sz="1600" b="1" i="0" u="none" strike="noStrike">
              <a:solidFill>
                <a:srgbClr val="000000"/>
              </a:solidFill>
              <a:latin typeface="Times New Roman"/>
              <a:cs typeface="Times New Roman"/>
            </a:rPr>
            <a:pPr algn="ctr"/>
            <a:t>935</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5</xdr:col>
      <xdr:colOff>431800</xdr:colOff>
      <xdr:row>5</xdr:row>
      <xdr:rowOff>158750</xdr:rowOff>
    </xdr:from>
    <xdr:to>
      <xdr:col>8</xdr:col>
      <xdr:colOff>69850</xdr:colOff>
      <xdr:row>7</xdr:row>
      <xdr:rowOff>50800</xdr:rowOff>
    </xdr:to>
    <xdr:sp macro="" textlink="">
      <xdr:nvSpPr>
        <xdr:cNvPr id="38" name="TextBox 37">
          <a:extLst>
            <a:ext uri="{FF2B5EF4-FFF2-40B4-BE49-F238E27FC236}">
              <a16:creationId xmlns:a16="http://schemas.microsoft.com/office/drawing/2014/main" id="{870086B5-A971-42B9-B0A5-16393C404757}"/>
            </a:ext>
          </a:extLst>
        </xdr:cNvPr>
        <xdr:cNvSpPr txBox="1"/>
      </xdr:nvSpPr>
      <xdr:spPr>
        <a:xfrm>
          <a:off x="3479800" y="1079500"/>
          <a:ext cx="14668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Avg.</a:t>
          </a:r>
          <a:r>
            <a:rPr lang="en-US" sz="1050" baseline="0">
              <a:latin typeface="Times New Roman" panose="02020603050405020304" pitchFamily="18" charset="0"/>
              <a:cs typeface="Times New Roman" panose="02020603050405020304" pitchFamily="18" charset="0"/>
            </a:rPr>
            <a:t> Wait Time (Min)</a:t>
          </a:r>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5</xdr:col>
      <xdr:colOff>368300</xdr:colOff>
      <xdr:row>4</xdr:row>
      <xdr:rowOff>88900</xdr:rowOff>
    </xdr:from>
    <xdr:to>
      <xdr:col>8</xdr:col>
      <xdr:colOff>15876</xdr:colOff>
      <xdr:row>6</xdr:row>
      <xdr:rowOff>31750</xdr:rowOff>
    </xdr:to>
    <xdr:sp macro="" textlink="'Pivot Table'!A11">
      <xdr:nvSpPr>
        <xdr:cNvPr id="39" name="TextBox 38">
          <a:extLst>
            <a:ext uri="{FF2B5EF4-FFF2-40B4-BE49-F238E27FC236}">
              <a16:creationId xmlns:a16="http://schemas.microsoft.com/office/drawing/2014/main" id="{4CF0B838-DC87-4805-B028-392894818A4A}"/>
            </a:ext>
          </a:extLst>
        </xdr:cNvPr>
        <xdr:cNvSpPr txBox="1"/>
      </xdr:nvSpPr>
      <xdr:spPr>
        <a:xfrm>
          <a:off x="3416300" y="82550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2363EF-B2F3-452C-A4BC-E8204DCD81D8}" type="TxLink">
            <a:rPr lang="en-US" sz="1600" b="1" i="0" u="none" strike="noStrike">
              <a:solidFill>
                <a:srgbClr val="000000"/>
              </a:solidFill>
              <a:latin typeface="Times New Roman"/>
              <a:cs typeface="Times New Roman"/>
            </a:rPr>
            <a:pPr algn="ctr"/>
            <a:t>34.66</a:t>
          </a:fld>
          <a:endParaRPr lang="en-US" sz="1600" b="1"/>
        </a:p>
      </xdr:txBody>
    </xdr:sp>
    <xdr:clientData/>
  </xdr:twoCellAnchor>
  <xdr:twoCellAnchor>
    <xdr:from>
      <xdr:col>8</xdr:col>
      <xdr:colOff>384174</xdr:colOff>
      <xdr:row>5</xdr:row>
      <xdr:rowOff>152400</xdr:rowOff>
    </xdr:from>
    <xdr:to>
      <xdr:col>11</xdr:col>
      <xdr:colOff>444500</xdr:colOff>
      <xdr:row>8</xdr:row>
      <xdr:rowOff>152400</xdr:rowOff>
    </xdr:to>
    <xdr:sp macro="" textlink="">
      <xdr:nvSpPr>
        <xdr:cNvPr id="40" name="TextBox 39">
          <a:extLst>
            <a:ext uri="{FF2B5EF4-FFF2-40B4-BE49-F238E27FC236}">
              <a16:creationId xmlns:a16="http://schemas.microsoft.com/office/drawing/2014/main" id="{B9F913DB-2458-4373-83BB-574ECDA2BE0E}"/>
            </a:ext>
          </a:extLst>
        </xdr:cNvPr>
        <xdr:cNvSpPr txBox="1"/>
      </xdr:nvSpPr>
      <xdr:spPr>
        <a:xfrm>
          <a:off x="5260974" y="1073150"/>
          <a:ext cx="188912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Patient</a:t>
          </a:r>
          <a:r>
            <a:rPr lang="en-US" sz="1050" baseline="0">
              <a:latin typeface="Times New Roman" panose="02020603050405020304" pitchFamily="18" charset="0"/>
              <a:cs typeface="Times New Roman" panose="02020603050405020304" pitchFamily="18" charset="0"/>
            </a:rPr>
            <a:t> Satisfication Score</a:t>
          </a:r>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8</xdr:col>
      <xdr:colOff>381000</xdr:colOff>
      <xdr:row>4</xdr:row>
      <xdr:rowOff>69850</xdr:rowOff>
    </xdr:from>
    <xdr:to>
      <xdr:col>11</xdr:col>
      <xdr:colOff>28576</xdr:colOff>
      <xdr:row>6</xdr:row>
      <xdr:rowOff>12700</xdr:rowOff>
    </xdr:to>
    <xdr:sp macro="" textlink="'Pivot Table'!A15">
      <xdr:nvSpPr>
        <xdr:cNvPr id="41" name="TextBox 40">
          <a:extLst>
            <a:ext uri="{FF2B5EF4-FFF2-40B4-BE49-F238E27FC236}">
              <a16:creationId xmlns:a16="http://schemas.microsoft.com/office/drawing/2014/main" id="{8A2FD483-5E07-431D-B95D-DD3774390F59}"/>
            </a:ext>
          </a:extLst>
        </xdr:cNvPr>
        <xdr:cNvSpPr txBox="1"/>
      </xdr:nvSpPr>
      <xdr:spPr>
        <a:xfrm>
          <a:off x="5257800" y="80645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0A93E5-EEA0-46D2-8BAA-4D439C8F540D}" type="TxLink">
            <a:rPr lang="en-US" sz="1600" b="1" i="0" u="none" strike="noStrike">
              <a:solidFill>
                <a:srgbClr val="000000"/>
              </a:solidFill>
              <a:latin typeface="Times New Roman"/>
              <a:cs typeface="Times New Roman"/>
            </a:rPr>
            <a:pPr algn="ctr"/>
            <a:t>4.95</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542924</xdr:colOff>
      <xdr:row>0</xdr:row>
      <xdr:rowOff>63500</xdr:rowOff>
    </xdr:from>
    <xdr:to>
      <xdr:col>10</xdr:col>
      <xdr:colOff>298450</xdr:colOff>
      <xdr:row>2</xdr:row>
      <xdr:rowOff>6350</xdr:rowOff>
    </xdr:to>
    <xdr:sp macro="" textlink="">
      <xdr:nvSpPr>
        <xdr:cNvPr id="42" name="TextBox 41">
          <a:extLst>
            <a:ext uri="{FF2B5EF4-FFF2-40B4-BE49-F238E27FC236}">
              <a16:creationId xmlns:a16="http://schemas.microsoft.com/office/drawing/2014/main" id="{AA718E34-36AC-473F-80C1-6ED2C190703E}"/>
            </a:ext>
          </a:extLst>
        </xdr:cNvPr>
        <xdr:cNvSpPr txBox="1"/>
      </xdr:nvSpPr>
      <xdr:spPr>
        <a:xfrm>
          <a:off x="5419724" y="63500"/>
          <a:ext cx="97472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Select</a:t>
          </a:r>
          <a:r>
            <a:rPr lang="en-US" sz="1050" baseline="0">
              <a:latin typeface="Times New Roman" panose="02020603050405020304" pitchFamily="18" charset="0"/>
              <a:cs typeface="Times New Roman" panose="02020603050405020304" pitchFamily="18" charset="0"/>
            </a:rPr>
            <a:t> Year</a:t>
          </a:r>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2</xdr:col>
      <xdr:colOff>196850</xdr:colOff>
      <xdr:row>12</xdr:row>
      <xdr:rowOff>95250</xdr:rowOff>
    </xdr:from>
    <xdr:to>
      <xdr:col>4</xdr:col>
      <xdr:colOff>454026</xdr:colOff>
      <xdr:row>14</xdr:row>
      <xdr:rowOff>38100</xdr:rowOff>
    </xdr:to>
    <xdr:sp macro="" textlink="">
      <xdr:nvSpPr>
        <xdr:cNvPr id="43" name="TextBox 42">
          <a:extLst>
            <a:ext uri="{FF2B5EF4-FFF2-40B4-BE49-F238E27FC236}">
              <a16:creationId xmlns:a16="http://schemas.microsoft.com/office/drawing/2014/main" id="{0DC5216D-7B45-4FC0-9B36-CDD40157BB10}"/>
            </a:ext>
          </a:extLst>
        </xdr:cNvPr>
        <xdr:cNvSpPr txBox="1"/>
      </xdr:nvSpPr>
      <xdr:spPr>
        <a:xfrm>
          <a:off x="1416050" y="230505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387351</xdr:colOff>
      <xdr:row>4</xdr:row>
      <xdr:rowOff>107951</xdr:rowOff>
    </xdr:from>
    <xdr:to>
      <xdr:col>4</xdr:col>
      <xdr:colOff>590550</xdr:colOff>
      <xdr:row>5</xdr:row>
      <xdr:rowOff>127000</xdr:rowOff>
    </xdr:to>
    <xdr:pic>
      <xdr:nvPicPr>
        <xdr:cNvPr id="45" name="Picture 44">
          <a:extLst>
            <a:ext uri="{FF2B5EF4-FFF2-40B4-BE49-F238E27FC236}">
              <a16:creationId xmlns:a16="http://schemas.microsoft.com/office/drawing/2014/main" id="{876706AA-75A7-1059-F75A-A7BFC3B4F9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25751" y="844551"/>
          <a:ext cx="203199" cy="203199"/>
        </a:xfrm>
        <a:prstGeom prst="rect">
          <a:avLst/>
        </a:prstGeom>
      </xdr:spPr>
    </xdr:pic>
    <xdr:clientData/>
  </xdr:twoCellAnchor>
  <xdr:twoCellAnchor editAs="oneCell">
    <xdr:from>
      <xdr:col>7</xdr:col>
      <xdr:colOff>444501</xdr:colOff>
      <xdr:row>4</xdr:row>
      <xdr:rowOff>133351</xdr:rowOff>
    </xdr:from>
    <xdr:to>
      <xdr:col>8</xdr:col>
      <xdr:colOff>25400</xdr:colOff>
      <xdr:row>5</xdr:row>
      <xdr:rowOff>139700</xdr:rowOff>
    </xdr:to>
    <xdr:pic>
      <xdr:nvPicPr>
        <xdr:cNvPr id="47" name="Picture 46">
          <a:extLst>
            <a:ext uri="{FF2B5EF4-FFF2-40B4-BE49-F238E27FC236}">
              <a16:creationId xmlns:a16="http://schemas.microsoft.com/office/drawing/2014/main" id="{EA07B764-859E-32D1-DA1F-82981DC45C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11701" y="869951"/>
          <a:ext cx="190499" cy="190499"/>
        </a:xfrm>
        <a:prstGeom prst="rect">
          <a:avLst/>
        </a:prstGeom>
      </xdr:spPr>
    </xdr:pic>
    <xdr:clientData/>
  </xdr:twoCellAnchor>
  <xdr:twoCellAnchor editAs="oneCell">
    <xdr:from>
      <xdr:col>10</xdr:col>
      <xdr:colOff>463550</xdr:colOff>
      <xdr:row>4</xdr:row>
      <xdr:rowOff>114300</xdr:rowOff>
    </xdr:from>
    <xdr:to>
      <xdr:col>11</xdr:col>
      <xdr:colOff>88900</xdr:colOff>
      <xdr:row>5</xdr:row>
      <xdr:rowOff>165100</xdr:rowOff>
    </xdr:to>
    <xdr:pic>
      <xdr:nvPicPr>
        <xdr:cNvPr id="49" name="Picture 48">
          <a:extLst>
            <a:ext uri="{FF2B5EF4-FFF2-40B4-BE49-F238E27FC236}">
              <a16:creationId xmlns:a16="http://schemas.microsoft.com/office/drawing/2014/main" id="{07BAC0AD-03E7-1F37-0F5D-3B411CF09B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59550" y="850900"/>
          <a:ext cx="234950" cy="234950"/>
        </a:xfrm>
        <a:prstGeom prst="rect">
          <a:avLst/>
        </a:prstGeom>
      </xdr:spPr>
    </xdr:pic>
    <xdr:clientData/>
  </xdr:twoCellAnchor>
  <xdr:twoCellAnchor editAs="oneCell">
    <xdr:from>
      <xdr:col>0</xdr:col>
      <xdr:colOff>95250</xdr:colOff>
      <xdr:row>4</xdr:row>
      <xdr:rowOff>88900</xdr:rowOff>
    </xdr:from>
    <xdr:to>
      <xdr:col>2</xdr:col>
      <xdr:colOff>165100</xdr:colOff>
      <xdr:row>20</xdr:row>
      <xdr:rowOff>114300</xdr:rowOff>
    </xdr:to>
    <mc:AlternateContent xmlns:mc="http://schemas.openxmlformats.org/markup-compatibility/2006" xmlns:a14="http://schemas.microsoft.com/office/drawing/2010/main">
      <mc:Choice Requires="a14">
        <xdr:graphicFrame macro="">
          <xdr:nvGraphicFramePr>
            <xdr:cNvPr id="50" name="Date (Month) 1">
              <a:extLst>
                <a:ext uri="{FF2B5EF4-FFF2-40B4-BE49-F238E27FC236}">
                  <a16:creationId xmlns:a16="http://schemas.microsoft.com/office/drawing/2014/main" id="{08ACA604-19B4-47A0-976D-6AA8B4E8635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5250" y="825500"/>
              <a:ext cx="128905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165100</xdr:colOff>
      <xdr:row>6</xdr:row>
      <xdr:rowOff>38100</xdr:rowOff>
    </xdr:from>
    <xdr:to>
      <xdr:col>5</xdr:col>
      <xdr:colOff>190501</xdr:colOff>
      <xdr:row>9</xdr:row>
      <xdr:rowOff>31750</xdr:rowOff>
    </xdr:to>
    <xdr:graphicFrame macro="">
      <xdr:nvGraphicFramePr>
        <xdr:cNvPr id="51" name="Chart 50">
          <a:hlinkClick xmlns:r="http://schemas.openxmlformats.org/officeDocument/2006/relationships" r:id="rId5"/>
          <a:extLst>
            <a:ext uri="{FF2B5EF4-FFF2-40B4-BE49-F238E27FC236}">
              <a16:creationId xmlns:a16="http://schemas.microsoft.com/office/drawing/2014/main" id="{15288146-85F8-4EF8-8054-4C5611D1B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158751</xdr:colOff>
      <xdr:row>6</xdr:row>
      <xdr:rowOff>12700</xdr:rowOff>
    </xdr:from>
    <xdr:to>
      <xdr:col>8</xdr:col>
      <xdr:colOff>266700</xdr:colOff>
      <xdr:row>9</xdr:row>
      <xdr:rowOff>25400</xdr:rowOff>
    </xdr:to>
    <xdr:graphicFrame macro="">
      <xdr:nvGraphicFramePr>
        <xdr:cNvPr id="53" name="Chart 52">
          <a:hlinkClick xmlns:r="http://schemas.openxmlformats.org/officeDocument/2006/relationships" r:id="rId7"/>
          <a:extLst>
            <a:ext uri="{FF2B5EF4-FFF2-40B4-BE49-F238E27FC236}">
              <a16:creationId xmlns:a16="http://schemas.microsoft.com/office/drawing/2014/main" id="{11F4CFEC-A8BB-4083-B9F9-440E3CB5A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158750</xdr:colOff>
      <xdr:row>5</xdr:row>
      <xdr:rowOff>139700</xdr:rowOff>
    </xdr:from>
    <xdr:to>
      <xdr:col>11</xdr:col>
      <xdr:colOff>260350</xdr:colOff>
      <xdr:row>9</xdr:row>
      <xdr:rowOff>31750</xdr:rowOff>
    </xdr:to>
    <xdr:graphicFrame macro="">
      <xdr:nvGraphicFramePr>
        <xdr:cNvPr id="55" name="Chart 54">
          <a:hlinkClick xmlns:r="http://schemas.openxmlformats.org/officeDocument/2006/relationships" r:id="rId9"/>
          <a:extLst>
            <a:ext uri="{FF2B5EF4-FFF2-40B4-BE49-F238E27FC236}">
              <a16:creationId xmlns:a16="http://schemas.microsoft.com/office/drawing/2014/main" id="{CE764E60-7AD8-4A6D-9386-6D996138B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222250</xdr:colOff>
      <xdr:row>8</xdr:row>
      <xdr:rowOff>177800</xdr:rowOff>
    </xdr:from>
    <xdr:to>
      <xdr:col>11</xdr:col>
      <xdr:colOff>139700</xdr:colOff>
      <xdr:row>12</xdr:row>
      <xdr:rowOff>38100</xdr:rowOff>
    </xdr:to>
    <xdr:pic>
      <xdr:nvPicPr>
        <xdr:cNvPr id="5" name="Picture 4">
          <a:extLst>
            <a:ext uri="{FF2B5EF4-FFF2-40B4-BE49-F238E27FC236}">
              <a16:creationId xmlns:a16="http://schemas.microsoft.com/office/drawing/2014/main" id="{B6B78B83-03C9-6794-CD27-586DE771241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441450" y="1651000"/>
          <a:ext cx="5403850"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196850</xdr:colOff>
      <xdr:row>11</xdr:row>
      <xdr:rowOff>165100</xdr:rowOff>
    </xdr:from>
    <xdr:to>
      <xdr:col>11</xdr:col>
      <xdr:colOff>95250</xdr:colOff>
      <xdr:row>19</xdr:row>
      <xdr:rowOff>114300</xdr:rowOff>
    </xdr:to>
    <xdr:graphicFrame macro="">
      <xdr:nvGraphicFramePr>
        <xdr:cNvPr id="6" name="Chart 5">
          <a:extLst>
            <a:ext uri="{FF2B5EF4-FFF2-40B4-BE49-F238E27FC236}">
              <a16:creationId xmlns:a16="http://schemas.microsoft.com/office/drawing/2014/main" id="{D1C8A122-845C-4BFA-9F2C-A87064F48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5</xdr:col>
      <xdr:colOff>94207</xdr:colOff>
      <xdr:row>19</xdr:row>
      <xdr:rowOff>38100</xdr:rowOff>
    </xdr:from>
    <xdr:ext cx="1792798" cy="247119"/>
    <xdr:sp macro="" textlink="">
      <xdr:nvSpPr>
        <xdr:cNvPr id="8" name="TextBox 7">
          <a:extLst>
            <a:ext uri="{FF2B5EF4-FFF2-40B4-BE49-F238E27FC236}">
              <a16:creationId xmlns:a16="http://schemas.microsoft.com/office/drawing/2014/main" id="{CDCCFD4F-B276-25F5-A7AA-D771887A0EB3}"/>
            </a:ext>
          </a:extLst>
        </xdr:cNvPr>
        <xdr:cNvSpPr txBox="1"/>
      </xdr:nvSpPr>
      <xdr:spPr>
        <a:xfrm>
          <a:off x="3142207" y="3536950"/>
          <a:ext cx="1792798"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Tahoma" panose="020B0604030504040204" pitchFamily="34" charset="0"/>
              <a:cs typeface="Times New Roman" panose="02020603050405020304" pitchFamily="18" charset="0"/>
            </a:rPr>
            <a:t>No. Of Patient</a:t>
          </a:r>
          <a:r>
            <a:rPr lang="en-US" sz="1050" b="0" i="0" u="none" strike="noStrike" baseline="0">
              <a:solidFill>
                <a:srgbClr val="000000"/>
              </a:solidFill>
              <a:latin typeface="Times New Roman" panose="02020603050405020304" pitchFamily="18" charset="0"/>
              <a:ea typeface="Tahoma" panose="020B0604030504040204" pitchFamily="34" charset="0"/>
              <a:cs typeface="Times New Roman" panose="02020603050405020304" pitchFamily="18" charset="0"/>
            </a:rPr>
            <a:t> By Age Group</a:t>
          </a:r>
          <a:endParaRPr lang="en-US" sz="1050" b="0" i="0" u="none" strike="noStrike">
            <a:solidFill>
              <a:srgbClr val="000000"/>
            </a:solidFill>
            <a:latin typeface="Times New Roman" panose="02020603050405020304" pitchFamily="18" charset="0"/>
            <a:ea typeface="Tahoma" panose="020B0604030504040204" pitchFamily="34" charset="0"/>
            <a:cs typeface="Times New Roman" panose="02020603050405020304" pitchFamily="18" charset="0"/>
          </a:endParaRPr>
        </a:p>
      </xdr:txBody>
    </xdr:sp>
    <xdr:clientData/>
  </xdr:oneCellAnchor>
  <xdr:oneCellAnchor>
    <xdr:from>
      <xdr:col>11</xdr:col>
      <xdr:colOff>484329</xdr:colOff>
      <xdr:row>9</xdr:row>
      <xdr:rowOff>101600</xdr:rowOff>
    </xdr:from>
    <xdr:ext cx="1863459" cy="247119"/>
    <xdr:sp macro="" textlink="">
      <xdr:nvSpPr>
        <xdr:cNvPr id="22" name="TextBox 21">
          <a:extLst>
            <a:ext uri="{FF2B5EF4-FFF2-40B4-BE49-F238E27FC236}">
              <a16:creationId xmlns:a16="http://schemas.microsoft.com/office/drawing/2014/main" id="{D6F00F78-8BFA-C484-AA96-A3D970062584}"/>
            </a:ext>
          </a:extLst>
        </xdr:cNvPr>
        <xdr:cNvSpPr txBox="1"/>
      </xdr:nvSpPr>
      <xdr:spPr>
        <a:xfrm>
          <a:off x="7189929" y="1758950"/>
          <a:ext cx="1863459"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Calibri"/>
              <a:cs typeface="Times New Roman" panose="02020603050405020304" pitchFamily="18" charset="0"/>
            </a:rPr>
            <a:t>Patients Attended Within Time</a:t>
          </a:r>
        </a:p>
      </xdr:txBody>
    </xdr:sp>
    <xdr:clientData/>
  </xdr:oneCellAnchor>
  <xdr:twoCellAnchor>
    <xdr:from>
      <xdr:col>11</xdr:col>
      <xdr:colOff>228599</xdr:colOff>
      <xdr:row>0</xdr:row>
      <xdr:rowOff>57150</xdr:rowOff>
    </xdr:from>
    <xdr:to>
      <xdr:col>16</xdr:col>
      <xdr:colOff>57150</xdr:colOff>
      <xdr:row>10</xdr:row>
      <xdr:rowOff>158750</xdr:rowOff>
    </xdr:to>
    <xdr:graphicFrame macro="">
      <xdr:nvGraphicFramePr>
        <xdr:cNvPr id="27" name="Chart 26">
          <a:extLst>
            <a:ext uri="{FF2B5EF4-FFF2-40B4-BE49-F238E27FC236}">
              <a16:creationId xmlns:a16="http://schemas.microsoft.com/office/drawing/2014/main" id="{6F368717-02A0-41DE-A078-6C205038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16</xdr:col>
      <xdr:colOff>5825</xdr:colOff>
      <xdr:row>9</xdr:row>
      <xdr:rowOff>95250</xdr:rowOff>
    </xdr:from>
    <xdr:ext cx="1639360" cy="247119"/>
    <xdr:sp macro="" textlink="">
      <xdr:nvSpPr>
        <xdr:cNvPr id="32" name="TextBox 31">
          <a:extLst>
            <a:ext uri="{FF2B5EF4-FFF2-40B4-BE49-F238E27FC236}">
              <a16:creationId xmlns:a16="http://schemas.microsoft.com/office/drawing/2014/main" id="{DE54F747-D109-59E0-4E46-02E18FAB5866}"/>
            </a:ext>
          </a:extLst>
        </xdr:cNvPr>
        <xdr:cNvSpPr txBox="1"/>
      </xdr:nvSpPr>
      <xdr:spPr>
        <a:xfrm>
          <a:off x="9759425" y="1752600"/>
          <a:ext cx="1639360"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Calibri"/>
              <a:cs typeface="Times New Roman" panose="02020603050405020304" pitchFamily="18" charset="0"/>
            </a:rPr>
            <a:t>No. Of Patients By Gender</a:t>
          </a:r>
        </a:p>
      </xdr:txBody>
    </xdr:sp>
    <xdr:clientData/>
  </xdr:oneCellAnchor>
  <xdr:twoCellAnchor>
    <xdr:from>
      <xdr:col>15</xdr:col>
      <xdr:colOff>234950</xdr:colOff>
      <xdr:row>0</xdr:row>
      <xdr:rowOff>63500</xdr:rowOff>
    </xdr:from>
    <xdr:to>
      <xdr:col>19</xdr:col>
      <xdr:colOff>82550</xdr:colOff>
      <xdr:row>9</xdr:row>
      <xdr:rowOff>101600</xdr:rowOff>
    </xdr:to>
    <xdr:graphicFrame macro="">
      <xdr:nvGraphicFramePr>
        <xdr:cNvPr id="52" name="Chart 51">
          <a:extLst>
            <a:ext uri="{FF2B5EF4-FFF2-40B4-BE49-F238E27FC236}">
              <a16:creationId xmlns:a16="http://schemas.microsoft.com/office/drawing/2014/main" id="{83037A16-FE40-4FBD-BC54-1D7BA59BC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209550</xdr:colOff>
      <xdr:row>11</xdr:row>
      <xdr:rowOff>31750</xdr:rowOff>
    </xdr:from>
    <xdr:to>
      <xdr:col>19</xdr:col>
      <xdr:colOff>203200</xdr:colOff>
      <xdr:row>19</xdr:row>
      <xdr:rowOff>19050</xdr:rowOff>
    </xdr:to>
    <xdr:graphicFrame macro="">
      <xdr:nvGraphicFramePr>
        <xdr:cNvPr id="56" name="Chart 55">
          <a:extLst>
            <a:ext uri="{FF2B5EF4-FFF2-40B4-BE49-F238E27FC236}">
              <a16:creationId xmlns:a16="http://schemas.microsoft.com/office/drawing/2014/main" id="{16E9E208-298E-4687-9431-13B2C4B32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13</xdr:col>
      <xdr:colOff>113247</xdr:colOff>
      <xdr:row>19</xdr:row>
      <xdr:rowOff>57150</xdr:rowOff>
    </xdr:from>
    <xdr:ext cx="2300823" cy="247119"/>
    <xdr:sp macro="" textlink="">
      <xdr:nvSpPr>
        <xdr:cNvPr id="57" name="TextBox 56">
          <a:extLst>
            <a:ext uri="{FF2B5EF4-FFF2-40B4-BE49-F238E27FC236}">
              <a16:creationId xmlns:a16="http://schemas.microsoft.com/office/drawing/2014/main" id="{61C11123-F0A1-0E24-0DD6-B131666599C7}"/>
            </a:ext>
          </a:extLst>
        </xdr:cNvPr>
        <xdr:cNvSpPr txBox="1"/>
      </xdr:nvSpPr>
      <xdr:spPr>
        <a:xfrm>
          <a:off x="8038047" y="3556000"/>
          <a:ext cx="2300823"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Calibri"/>
              <a:cs typeface="Times New Roman" panose="02020603050405020304" pitchFamily="18" charset="0"/>
            </a:rPr>
            <a:t>No. Of Patient By Department Referral</a:t>
          </a:r>
        </a:p>
      </xdr:txBody>
    </xdr:sp>
    <xdr:clientData/>
  </xdr:oneCellAnchor>
  <xdr:twoCellAnchor editAs="oneCell">
    <xdr:from>
      <xdr:col>8</xdr:col>
      <xdr:colOff>44450</xdr:colOff>
      <xdr:row>1</xdr:row>
      <xdr:rowOff>114301</xdr:rowOff>
    </xdr:from>
    <xdr:to>
      <xdr:col>11</xdr:col>
      <xdr:colOff>101600</xdr:colOff>
      <xdr:row>3</xdr:row>
      <xdr:rowOff>127000</xdr:rowOff>
    </xdr:to>
    <mc:AlternateContent xmlns:mc="http://schemas.openxmlformats.org/markup-compatibility/2006" xmlns:a14="http://schemas.microsoft.com/office/drawing/2010/main">
      <mc:Choice Requires="a14">
        <xdr:graphicFrame macro="">
          <xdr:nvGraphicFramePr>
            <xdr:cNvPr id="59" name="Date (Year) 1">
              <a:extLst>
                <a:ext uri="{FF2B5EF4-FFF2-40B4-BE49-F238E27FC236}">
                  <a16:creationId xmlns:a16="http://schemas.microsoft.com/office/drawing/2014/main" id="{DEF0B2CF-E1D8-4677-804A-18E20D8731D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921250" y="298451"/>
              <a:ext cx="1885950"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419100</xdr:colOff>
      <xdr:row>1</xdr:row>
      <xdr:rowOff>114300</xdr:rowOff>
    </xdr:from>
    <xdr:to>
      <xdr:col>18</xdr:col>
      <xdr:colOff>444500</xdr:colOff>
      <xdr:row>19</xdr:row>
      <xdr:rowOff>12700</xdr:rowOff>
    </xdr:to>
    <xdr:graphicFrame macro="">
      <xdr:nvGraphicFramePr>
        <xdr:cNvPr id="3" name="Chart 2">
          <a:extLst>
            <a:ext uri="{FF2B5EF4-FFF2-40B4-BE49-F238E27FC236}">
              <a16:creationId xmlns:a16="http://schemas.microsoft.com/office/drawing/2014/main" id="{0F1F8AD1-165B-4D60-90A9-5DDA6F0C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407697</xdr:colOff>
      <xdr:row>19</xdr:row>
      <xdr:rowOff>44450</xdr:rowOff>
    </xdr:from>
    <xdr:ext cx="5687006" cy="254493"/>
    <xdr:sp macro="" textlink="">
      <xdr:nvSpPr>
        <xdr:cNvPr id="4" name="TextBox 3">
          <a:extLst>
            <a:ext uri="{FF2B5EF4-FFF2-40B4-BE49-F238E27FC236}">
              <a16:creationId xmlns:a16="http://schemas.microsoft.com/office/drawing/2014/main" id="{64AEC7BD-E5CB-DEC0-F07C-E2553885EFFA}"/>
            </a:ext>
          </a:extLst>
        </xdr:cNvPr>
        <xdr:cNvSpPr txBox="1"/>
      </xdr:nvSpPr>
      <xdr:spPr>
        <a:xfrm>
          <a:off x="2846097" y="3543300"/>
          <a:ext cx="5687006" cy="254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100" b="1" i="0" u="none" strike="noStrike">
              <a:solidFill>
                <a:schemeClr val="dk1"/>
              </a:solidFill>
              <a:effectLst/>
              <a:latin typeface="Times New Roman" panose="02020603050405020304" pitchFamily="18" charset="0"/>
              <a:ea typeface="+mn-ea"/>
              <a:cs typeface="Times New Roman" panose="02020603050405020304" pitchFamily="18" charset="0"/>
            </a:rPr>
            <a:t>Show a daily trend with an area sparkline to spot patterns like busy days or seasonal trends</a:t>
          </a:r>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twoCellAnchor editAs="oneCell">
    <xdr:from>
      <xdr:col>0</xdr:col>
      <xdr:colOff>82550</xdr:colOff>
      <xdr:row>0</xdr:row>
      <xdr:rowOff>44450</xdr:rowOff>
    </xdr:from>
    <xdr:to>
      <xdr:col>0</xdr:col>
      <xdr:colOff>355600</xdr:colOff>
      <xdr:row>1</xdr:row>
      <xdr:rowOff>148365</xdr:rowOff>
    </xdr:to>
    <xdr:pic>
      <xdr:nvPicPr>
        <xdr:cNvPr id="6" name="Picture 5">
          <a:hlinkClick xmlns:r="http://schemas.openxmlformats.org/officeDocument/2006/relationships" r:id="rId2"/>
          <a:extLst>
            <a:ext uri="{FF2B5EF4-FFF2-40B4-BE49-F238E27FC236}">
              <a16:creationId xmlns:a16="http://schemas.microsoft.com/office/drawing/2014/main" id="{FC14D4C1-2BF3-CE9A-C8EE-2FB880AF77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550" y="44450"/>
          <a:ext cx="273050" cy="288065"/>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0.48041</cdr:x>
      <cdr:y>0.72201</cdr:y>
    </cdr:from>
    <cdr:to>
      <cdr:x>0.89505</cdr:x>
      <cdr:y>1</cdr:y>
    </cdr:to>
    <cdr:sp macro="" textlink="">
      <cdr:nvSpPr>
        <cdr:cNvPr id="2" name="TextBox 1">
          <a:extLst xmlns:a="http://schemas.openxmlformats.org/drawingml/2006/main">
            <a:ext uri="{FF2B5EF4-FFF2-40B4-BE49-F238E27FC236}">
              <a16:creationId xmlns:a16="http://schemas.microsoft.com/office/drawing/2014/main" id="{BCCD7BD0-4CE1-1634-92C5-6EC577F969C7}"/>
            </a:ext>
          </a:extLst>
        </cdr:cNvPr>
        <cdr:cNvSpPr txBox="1"/>
      </cdr:nvSpPr>
      <cdr:spPr>
        <a:xfrm xmlns:a="http://schemas.openxmlformats.org/drawingml/2006/main">
          <a:off x="4127500" y="2374900"/>
          <a:ext cx="3562350" cy="9144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none" rtlCol="0" anchor="t"/>
        <a:lstStyle xmlns:a="http://schemas.openxmlformats.org/drawingml/2006/main"/>
        <a:p xmlns:a="http://schemas.openxmlformats.org/drawingml/2006/main">
          <a:pPr algn="ctr"/>
          <a:endParaRPr lang="en-US" sz="1100" b="0" i="0" u="none" strike="noStrike" kern="1200">
            <a:solidFill>
              <a:srgbClr val="000000"/>
            </a:solidFill>
            <a:latin typeface="Calibri"/>
            <a:ea typeface="Calibri"/>
            <a:cs typeface="Calibri"/>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374650</xdr:colOff>
      <xdr:row>2</xdr:row>
      <xdr:rowOff>6350</xdr:rowOff>
    </xdr:from>
    <xdr:to>
      <xdr:col>18</xdr:col>
      <xdr:colOff>450850</xdr:colOff>
      <xdr:row>18</xdr:row>
      <xdr:rowOff>95250</xdr:rowOff>
    </xdr:to>
    <xdr:graphicFrame macro="">
      <xdr:nvGraphicFramePr>
        <xdr:cNvPr id="2" name="Chart 1">
          <a:extLst>
            <a:ext uri="{FF2B5EF4-FFF2-40B4-BE49-F238E27FC236}">
              <a16:creationId xmlns:a16="http://schemas.microsoft.com/office/drawing/2014/main" id="{F221F324-1B20-44BF-A757-646772998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50800</xdr:rowOff>
    </xdr:from>
    <xdr:to>
      <xdr:col>0</xdr:col>
      <xdr:colOff>419100</xdr:colOff>
      <xdr:row>2</xdr:row>
      <xdr:rowOff>14873</xdr:rowOff>
    </xdr:to>
    <xdr:pic>
      <xdr:nvPicPr>
        <xdr:cNvPr id="3" name="Picture 2">
          <a:hlinkClick xmlns:r="http://schemas.openxmlformats.org/officeDocument/2006/relationships" r:id="rId2"/>
          <a:extLst>
            <a:ext uri="{FF2B5EF4-FFF2-40B4-BE49-F238E27FC236}">
              <a16:creationId xmlns:a16="http://schemas.microsoft.com/office/drawing/2014/main" id="{2ECCD571-0316-38D1-5760-528D0D6BA8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50" y="50800"/>
          <a:ext cx="323850" cy="332373"/>
        </a:xfrm>
        <a:prstGeom prst="rect">
          <a:avLst/>
        </a:prstGeom>
      </xdr:spPr>
    </xdr:pic>
    <xdr:clientData/>
  </xdr:twoCellAnchor>
  <xdr:oneCellAnchor>
    <xdr:from>
      <xdr:col>4</xdr:col>
      <xdr:colOff>9234</xdr:colOff>
      <xdr:row>19</xdr:row>
      <xdr:rowOff>88900</xdr:rowOff>
    </xdr:from>
    <xdr:ext cx="184731" cy="264560"/>
    <xdr:sp macro="" textlink="">
      <xdr:nvSpPr>
        <xdr:cNvPr id="4" name="TextBox 3">
          <a:extLst>
            <a:ext uri="{FF2B5EF4-FFF2-40B4-BE49-F238E27FC236}">
              <a16:creationId xmlns:a16="http://schemas.microsoft.com/office/drawing/2014/main" id="{7346CCEC-21B6-A84C-2131-86FDAC2A5286}"/>
            </a:ext>
          </a:extLst>
        </xdr:cNvPr>
        <xdr:cNvSpPr txBox="1"/>
      </xdr:nvSpPr>
      <xdr:spPr>
        <a:xfrm>
          <a:off x="2447634" y="3587750"/>
          <a:ext cx="184731"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endParaRPr lang="en-US" sz="11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twoCellAnchor>
    <xdr:from>
      <xdr:col>3</xdr:col>
      <xdr:colOff>69850</xdr:colOff>
      <xdr:row>18</xdr:row>
      <xdr:rowOff>158750</xdr:rowOff>
    </xdr:from>
    <xdr:to>
      <xdr:col>14</xdr:col>
      <xdr:colOff>469900</xdr:colOff>
      <xdr:row>21</xdr:row>
      <xdr:rowOff>158750</xdr:rowOff>
    </xdr:to>
    <xdr:sp macro="" textlink="">
      <xdr:nvSpPr>
        <xdr:cNvPr id="8193" name="Text Box 1">
          <a:extLst>
            <a:ext uri="{FF2B5EF4-FFF2-40B4-BE49-F238E27FC236}">
              <a16:creationId xmlns:a16="http://schemas.microsoft.com/office/drawing/2014/main" id="{D3D3FC71-7C66-B66E-1811-FFF5DA39F9A4}"/>
            </a:ext>
          </a:extLst>
        </xdr:cNvPr>
        <xdr:cNvSpPr txBox="1">
          <a:spLocks noChangeArrowheads="1"/>
        </xdr:cNvSpPr>
      </xdr:nvSpPr>
      <xdr:spPr bwMode="auto">
        <a:xfrm>
          <a:off x="1898650" y="3473450"/>
          <a:ext cx="7105650" cy="552450"/>
        </a:xfrm>
        <a:prstGeom prst="rect">
          <a:avLst/>
        </a:prstGeom>
        <a:noFill/>
        <a:ln w="9525">
          <a:noFill/>
          <a:miter lim="800000"/>
          <a:headEnd/>
          <a:tailEnd/>
        </a:ln>
      </xdr:spPr>
      <xdr:txBody>
        <a:bodyPr vertOverflow="clip" wrap="square" lIns="36576" tIns="36576" rIns="0" bIns="0" anchor="t" upright="1"/>
        <a:lstStyle/>
        <a:p>
          <a:pPr rtl="0"/>
          <a:r>
            <a:rPr lang="en-US" sz="1100" b="1" i="0" u="none" strike="noStrike">
              <a:effectLst/>
              <a:latin typeface="Times New Roman" panose="02020603050405020304" pitchFamily="18" charset="0"/>
              <a:ea typeface="+mn-ea"/>
              <a:cs typeface="Times New Roman" panose="02020603050405020304" pitchFamily="18" charset="0"/>
            </a:rPr>
            <a:t>Use an area area chart to track daily changes and highlight days with longer wait times that might need improvements</a:t>
          </a:r>
          <a:endParaRPr lang="en-US" b="1">
            <a:effectLst/>
            <a:latin typeface="Times New Roman" panose="02020603050405020304" pitchFamily="18" charset="0"/>
            <a:cs typeface="Times New Roman" panose="02020603050405020304" pitchFamily="18" charset="0"/>
          </a:endParaRPr>
        </a:p>
        <a:p>
          <a:br>
            <a:rPr lang="en-US">
              <a:latin typeface="Times New Roman" panose="02020603050405020304" pitchFamily="18" charset="0"/>
              <a:cs typeface="Times New Roman" panose="02020603050405020304" pitchFamily="18" charset="0"/>
            </a:rPr>
          </a:br>
          <a:endParaRPr lang="en-US" sz="1100" b="0" i="0" u="none" strike="noStrike" baseline="0">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50800</xdr:rowOff>
    </xdr:from>
    <xdr:to>
      <xdr:col>0</xdr:col>
      <xdr:colOff>419100</xdr:colOff>
      <xdr:row>2</xdr:row>
      <xdr:rowOff>14873</xdr:rowOff>
    </xdr:to>
    <xdr:pic>
      <xdr:nvPicPr>
        <xdr:cNvPr id="3" name="Picture 2">
          <a:hlinkClick xmlns:r="http://schemas.openxmlformats.org/officeDocument/2006/relationships" r:id="rId1"/>
          <a:extLst>
            <a:ext uri="{FF2B5EF4-FFF2-40B4-BE49-F238E27FC236}">
              <a16:creationId xmlns:a16="http://schemas.microsoft.com/office/drawing/2014/main" id="{79D754C4-71D5-4827-AC33-F9B93ADCAA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50800"/>
          <a:ext cx="323850" cy="332373"/>
        </a:xfrm>
        <a:prstGeom prst="rect">
          <a:avLst/>
        </a:prstGeom>
      </xdr:spPr>
    </xdr:pic>
    <xdr:clientData/>
  </xdr:twoCellAnchor>
  <xdr:oneCellAnchor>
    <xdr:from>
      <xdr:col>4</xdr:col>
      <xdr:colOff>9234</xdr:colOff>
      <xdr:row>19</xdr:row>
      <xdr:rowOff>88900</xdr:rowOff>
    </xdr:from>
    <xdr:ext cx="184731" cy="264560"/>
    <xdr:sp macro="" textlink="">
      <xdr:nvSpPr>
        <xdr:cNvPr id="4" name="TextBox 3">
          <a:extLst>
            <a:ext uri="{FF2B5EF4-FFF2-40B4-BE49-F238E27FC236}">
              <a16:creationId xmlns:a16="http://schemas.microsoft.com/office/drawing/2014/main" id="{4E31E2FE-2F26-40A3-824B-12308559650E}"/>
            </a:ext>
          </a:extLst>
        </xdr:cNvPr>
        <xdr:cNvSpPr txBox="1"/>
      </xdr:nvSpPr>
      <xdr:spPr>
        <a:xfrm>
          <a:off x="2447634" y="3587750"/>
          <a:ext cx="184731"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endParaRPr lang="en-US" sz="11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twoCellAnchor>
    <xdr:from>
      <xdr:col>4</xdr:col>
      <xdr:colOff>361950</xdr:colOff>
      <xdr:row>18</xdr:row>
      <xdr:rowOff>107950</xdr:rowOff>
    </xdr:from>
    <xdr:to>
      <xdr:col>15</xdr:col>
      <xdr:colOff>546100</xdr:colOff>
      <xdr:row>21</xdr:row>
      <xdr:rowOff>107950</xdr:rowOff>
    </xdr:to>
    <xdr:sp macro="" textlink="">
      <xdr:nvSpPr>
        <xdr:cNvPr id="5" name="Text Box 1">
          <a:extLst>
            <a:ext uri="{FF2B5EF4-FFF2-40B4-BE49-F238E27FC236}">
              <a16:creationId xmlns:a16="http://schemas.microsoft.com/office/drawing/2014/main" id="{5A83D942-ED12-445A-8F58-43264B24D37A}"/>
            </a:ext>
          </a:extLst>
        </xdr:cNvPr>
        <xdr:cNvSpPr txBox="1">
          <a:spLocks noChangeArrowheads="1"/>
        </xdr:cNvSpPr>
      </xdr:nvSpPr>
      <xdr:spPr bwMode="auto">
        <a:xfrm>
          <a:off x="2800350" y="3422650"/>
          <a:ext cx="6889750" cy="552450"/>
        </a:xfrm>
        <a:prstGeom prst="rect">
          <a:avLst/>
        </a:prstGeom>
        <a:noFill/>
        <a:ln w="9525">
          <a:noFill/>
          <a:miter lim="800000"/>
          <a:headEnd/>
          <a:tailEnd/>
        </a:ln>
      </xdr:spPr>
      <xdr:txBody>
        <a:bodyPr vertOverflow="clip" wrap="square" lIns="36576" tIns="36576" rIns="0" bIns="0" anchor="t" upright="1"/>
        <a:lstStyle/>
        <a:p>
          <a:pPr rtl="0"/>
          <a:r>
            <a:rPr lang="en-US" sz="1100" b="1" i="0" u="none" strike="noStrike">
              <a:effectLst/>
              <a:latin typeface="Times New Roman" panose="02020603050405020304" pitchFamily="18" charset="0"/>
              <a:ea typeface="+mn-ea"/>
              <a:cs typeface="Times New Roman" panose="02020603050405020304" pitchFamily="18" charset="0"/>
            </a:rPr>
            <a:t>Use an area area chart to show trends, spot drops in satisfaction, and link them to busy times or challenges.</a:t>
          </a:r>
          <a:br>
            <a:rPr lang="en-US" b="1">
              <a:latin typeface="Times New Roman" panose="02020603050405020304" pitchFamily="18" charset="0"/>
              <a:cs typeface="Times New Roman" panose="02020603050405020304" pitchFamily="18" charset="0"/>
            </a:rPr>
          </a:br>
          <a:endParaRPr lang="en-US" sz="1100" b="1" i="0" u="none" strike="noStrike" baseline="0">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552450</xdr:colOff>
      <xdr:row>1</xdr:row>
      <xdr:rowOff>101600</xdr:rowOff>
    </xdr:from>
    <xdr:to>
      <xdr:col>18</xdr:col>
      <xdr:colOff>438150</xdr:colOff>
      <xdr:row>18</xdr:row>
      <xdr:rowOff>31750</xdr:rowOff>
    </xdr:to>
    <xdr:graphicFrame macro="">
      <xdr:nvGraphicFramePr>
        <xdr:cNvPr id="7" name="Chart 6">
          <a:extLst>
            <a:ext uri="{FF2B5EF4-FFF2-40B4-BE49-F238E27FC236}">
              <a16:creationId xmlns:a16="http://schemas.microsoft.com/office/drawing/2014/main" id="{92A214D8-4495-4E65-A151-E2348EB55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8796299" createdVersion="5" refreshedVersion="8" minRefreshableVersion="3" recordCount="0" supportSubquery="1" supportAdvancedDrill="1" xr:uid="{8C2AA036-1E3A-4036-A560-35780BF56848}">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9027776" createdVersion="5" refreshedVersion="8" minRefreshableVersion="3" recordCount="0" supportSubquery="1" supportAdvancedDrill="1" xr:uid="{4AAF24F8-3D30-4575-8FB7-29087F9E4BEF}">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9374999" createdVersion="5" refreshedVersion="8" minRefreshableVersion="3" recordCount="0" supportSubquery="1" supportAdvancedDrill="1" xr:uid="{F4C58387-6AEF-46C7-850D-FA82B3476A6E}">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9490738" createdVersion="5" refreshedVersion="8" minRefreshableVersion="3" recordCount="0" supportSubquery="1" supportAdvancedDrill="1" xr:uid="{AED4662E-F000-4221-95CD-8E63B659DBD5}">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0300923" createdVersion="5" refreshedVersion="8" minRefreshableVersion="3" recordCount="0" supportSubquery="1" supportAdvancedDrill="1" xr:uid="{D9380174-8E5E-43CC-8A79-A25045AD30D3}">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0879631" createdVersion="5" refreshedVersion="8" minRefreshableVersion="3" recordCount="0" supportSubquery="1" supportAdvancedDrill="1" xr:uid="{1EEFD365-92BF-4FF2-97BE-FEA9D9CEBC02}">
  <cacheSource type="external" connectionId="3"/>
  <cacheFields count="3">
    <cacheField name="[Calendar_Table].[Date (Day)].[Date (Day)]" caption="Date (Day)" numFmtId="0" hierarchy="2" level="1">
      <sharedItems count="58">
        <s v="1-Sep"/>
        <s v="2-Sep"/>
        <s v="3-Sep"/>
        <s v="4-Sep"/>
        <s v="5-Sep"/>
        <s v="6-Sep"/>
        <s v="7-Sep"/>
        <s v="8-Sep"/>
        <s v="9-Sep"/>
        <s v="10-Sep"/>
        <s v="11-Sep"/>
        <s v="12-Sep"/>
        <s v="13-Sep"/>
        <s v="14-Sep"/>
        <s v="15-Sep"/>
        <s v="16-Sep"/>
        <s v="17-Sep"/>
        <s v="18-Sep"/>
        <s v="19-Sep"/>
        <s v="20-Sep"/>
        <s v="21-Sep"/>
        <s v="22-Sep"/>
        <s v="23-Sep"/>
        <s v="24-Sep"/>
        <s v="25-Sep"/>
        <s v="26-Sep"/>
        <s v="27-Sep"/>
        <s v="28-Sep"/>
        <s v="29-Sep"/>
        <s v="30-Sep"/>
        <s v="1-May" u="1"/>
        <s v="2-May" u="1"/>
        <s v="3-May" u="1"/>
        <s v="4-May" u="1"/>
        <s v="5-May" u="1"/>
        <s v="6-May" u="1"/>
        <s v="7-May" u="1"/>
        <s v="8-May" u="1"/>
        <s v="9-May" u="1"/>
        <s v="10-May" u="1"/>
        <s v="11-May" u="1"/>
        <s v="15-May" u="1"/>
        <s v="16-May" u="1"/>
        <s v="17-May" u="1"/>
        <s v="18-May" u="1"/>
        <s v="19-May" u="1"/>
        <s v="20-May" u="1"/>
        <s v="21-May" u="1"/>
        <s v="22-May" u="1"/>
        <s v="23-May" u="1"/>
        <s v="24-May" u="1"/>
        <s v="25-May" u="1"/>
        <s v="26-May" u="1"/>
        <s v="27-May" u="1"/>
        <s v="28-May" u="1"/>
        <s v="29-May" u="1"/>
        <s v="30-May" u="1"/>
        <s v="31-May"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1458331" createdVersion="5" refreshedVersion="8" minRefreshableVersion="3" recordCount="0" supportSubquery="1" supportAdvancedDrill="1" xr:uid="{E8D0E670-AECD-4083-8FDD-46CD72D6D098}">
  <cacheSource type="external" connectionId="3"/>
  <cacheFields count="3">
    <cacheField name="[Calendar_Table].[Date (Day)].[Date (Day)]" caption="Date (Day)" numFmtId="0" hierarchy="2" level="1">
      <sharedItems count="58">
        <s v="1-Sep"/>
        <s v="2-Sep"/>
        <s v="3-Sep"/>
        <s v="4-Sep"/>
        <s v="5-Sep"/>
        <s v="6-Sep"/>
        <s v="7-Sep"/>
        <s v="8-Sep"/>
        <s v="9-Sep"/>
        <s v="10-Sep"/>
        <s v="11-Sep"/>
        <s v="12-Sep"/>
        <s v="13-Sep"/>
        <s v="14-Sep"/>
        <s v="15-Sep"/>
        <s v="16-Sep"/>
        <s v="17-Sep"/>
        <s v="18-Sep"/>
        <s v="19-Sep"/>
        <s v="20-Sep"/>
        <s v="21-Sep"/>
        <s v="22-Sep"/>
        <s v="23-Sep"/>
        <s v="24-Sep"/>
        <s v="25-Sep"/>
        <s v="26-Sep"/>
        <s v="27-Sep"/>
        <s v="28-Sep"/>
        <s v="29-Sep"/>
        <s v="30-Sep"/>
        <s v="1-May" u="1"/>
        <s v="2-May" u="1"/>
        <s v="3-May" u="1"/>
        <s v="4-May" u="1"/>
        <s v="5-May" u="1"/>
        <s v="6-May" u="1"/>
        <s v="7-May" u="1"/>
        <s v="8-May" u="1"/>
        <s v="9-May" u="1"/>
        <s v="10-May" u="1"/>
        <s v="11-May" u="1"/>
        <s v="15-May" u="1"/>
        <s v="16-May" u="1"/>
        <s v="17-May" u="1"/>
        <s v="18-May" u="1"/>
        <s v="19-May" u="1"/>
        <s v="20-May" u="1"/>
        <s v="21-May" u="1"/>
        <s v="22-May" u="1"/>
        <s v="23-May" u="1"/>
        <s v="24-May" u="1"/>
        <s v="25-May" u="1"/>
        <s v="26-May" u="1"/>
        <s v="27-May" u="1"/>
        <s v="28-May" u="1"/>
        <s v="29-May" u="1"/>
        <s v="30-May" u="1"/>
        <s v="31-May"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2037039" createdVersion="5" refreshedVersion="8" minRefreshableVersion="3" recordCount="0" supportSubquery="1" supportAdvancedDrill="1" xr:uid="{2A436175-B968-429E-B94B-E5DFD68D4F05}">
  <cacheSource type="external" connectionId="3"/>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2500001" createdVersion="5" refreshedVersion="8" minRefreshableVersion="3" recordCount="0" supportSubquery="1" supportAdvancedDrill="1" xr:uid="{CC34C043-03F3-4DF5-B8CE-AB8557103EB3}">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3078702" createdVersion="5" refreshedVersion="8" minRefreshableVersion="3" recordCount="0" supportSubquery="1" supportAdvancedDrill="1" xr:uid="{3FAE80B2-7E05-4DE7-BF6C-C845CF90EE30}">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365741" createdVersion="5" refreshedVersion="8" minRefreshableVersion="3" recordCount="0" supportSubquery="1" supportAdvancedDrill="1" xr:uid="{605A4112-FDE0-48EE-A1D7-346608F61FFD}">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423611" createdVersion="5" refreshedVersion="8" minRefreshableVersion="3" recordCount="0" supportSubquery="1" supportAdvancedDrill="1" xr:uid="{8601599C-80FA-4AB3-B96F-0AA2FDFD783E}">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3892013889" createdVersion="5" refreshedVersion="8" minRefreshableVersion="3" recordCount="0" supportSubquery="1" supportAdvancedDrill="1" xr:uid="{4360CAF3-31C0-4EE4-A4E0-C0170ACA3DBD}">
  <cacheSource type="external" connectionId="3"/>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32754628" createdVersion="3" refreshedVersion="8" minRefreshableVersion="3" recordCount="0" supportSubquery="1" supportAdvancedDrill="1" xr:uid="{0C75EF1D-9753-4783-B5F1-2B3561CD443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76541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79A3D-DD20-435F-93E5-F7839FCA1760}" name="PivotTable14" cacheId="12"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100">
  <location ref="A91:A9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9">
    <format dxfId="8">
      <pivotArea outline="0" collapsedLevelsAreSubtotals="1"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grandRow="1" outline="0" collapsedLevelsAreSubtotals="1" fieldPosition="0"/>
    </format>
    <format dxfId="1">
      <pivotArea dataOnly="0" labelOnly="1" grandRow="1" outline="0" fieldPosition="0"/>
    </format>
    <format dxfId="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ACD35-853B-4F96-9FFF-2269D1B38D53}" name="PivotTable13" cacheId="11"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100">
  <location ref="A78:B87"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4"/>
    </i>
    <i>
      <x v="2"/>
    </i>
    <i>
      <x v="5"/>
    </i>
    <i>
      <x v="6"/>
    </i>
    <i>
      <x v="1"/>
    </i>
    <i>
      <x/>
    </i>
    <i>
      <x v="3"/>
    </i>
    <i>
      <x v="7"/>
    </i>
    <i t="grand">
      <x/>
    </i>
  </rowItems>
  <colItems count="1">
    <i/>
  </colItems>
  <dataFields count="1">
    <dataField name="Count of Department Referral" fld="2" subtotal="count" baseField="0" baseItem="0"/>
  </dataFields>
  <formats count="9">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outline="0" collapsedLevelsAreSubtotals="1" fieldPosition="0"/>
    </format>
  </formats>
  <chartFormats count="2">
    <chartFormat chart="94" format="0"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6567A-44E5-469C-BBA2-C5A227D0C1FF}" name="PivotTable6" cacheId="5" applyNumberFormats="0" applyBorderFormats="0" applyFontFormats="0" applyPatternFormats="0" applyAlignmentFormats="0" applyWidthHeightFormats="1" dataCaption="Values" tag="6b6aeecc-6fcd-481b-8410-a46149b0bf4b" updatedVersion="8" minRefreshableVersion="3" subtotalHiddenItems="1" itemPrintTitles="1" createdVersion="5" indent="0" outline="1" outlineData="1" multipleFieldFilters="0" chartFormat="33">
  <location ref="O5:P36" firstHeaderRow="1" firstDataRow="1" firstDataCol="1"/>
  <pivotFields count="3">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8">
    <format dxfId="25">
      <pivotArea outline="0" collapsedLevelsAreSubtotals="1"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collapsedLevelsAreSubtotals="1" fieldPosition="0">
        <references count="1">
          <reference field="0" count="11">
            <x v="30"/>
            <x v="31"/>
            <x v="32"/>
            <x v="33"/>
            <x v="34"/>
            <x v="35"/>
            <x v="36"/>
            <x v="37"/>
            <x v="38"/>
            <x v="39"/>
            <x v="40"/>
          </reference>
        </references>
      </pivotArea>
    </format>
    <format dxfId="19">
      <pivotArea collapsedLevelsAreSubtotals="1" fieldPosition="0">
        <references count="1">
          <reference field="0" count="17">
            <x v="41"/>
            <x v="42"/>
            <x v="43"/>
            <x v="44"/>
            <x v="45"/>
            <x v="46"/>
            <x v="47"/>
            <x v="48"/>
            <x v="49"/>
            <x v="50"/>
            <x v="51"/>
            <x v="52"/>
            <x v="53"/>
            <x v="54"/>
            <x v="55"/>
            <x v="56"/>
            <x v="57"/>
          </reference>
        </references>
      </pivotArea>
    </format>
    <format dxfId="18">
      <pivotArea grandRow="1" outline="0" collapsedLevelsAreSubtotals="1" fieldPosition="0"/>
    </format>
  </formats>
  <chartFormats count="41">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0" count="1" selected="0">
            <x v="40"/>
          </reference>
        </references>
      </pivotArea>
    </chartFormat>
    <chartFormat chart="27" format="4">
      <pivotArea type="data" outline="0" fieldPosition="0">
        <references count="2">
          <reference field="4294967294" count="1" selected="0">
            <x v="0"/>
          </reference>
          <reference field="0" count="1" selected="0">
            <x v="41"/>
          </reference>
        </references>
      </pivotArea>
    </chartFormat>
    <chartFormat chart="27" format="5">
      <pivotArea type="data" outline="0" fieldPosition="0">
        <references count="2">
          <reference field="4294967294" count="1" selected="0">
            <x v="0"/>
          </reference>
          <reference field="0" count="1" selected="0">
            <x v="42"/>
          </reference>
        </references>
      </pivotArea>
    </chartFormat>
    <chartFormat chart="27" format="6">
      <pivotArea type="data" outline="0" fieldPosition="0">
        <references count="2">
          <reference field="4294967294" count="1" selected="0">
            <x v="0"/>
          </reference>
          <reference field="0" count="1" selected="0">
            <x v="43"/>
          </reference>
        </references>
      </pivotArea>
    </chartFormat>
    <chartFormat chart="27" format="7">
      <pivotArea type="data" outline="0" fieldPosition="0">
        <references count="2">
          <reference field="4294967294" count="1" selected="0">
            <x v="0"/>
          </reference>
          <reference field="0" count="1" selected="0">
            <x v="44"/>
          </reference>
        </references>
      </pivotArea>
    </chartFormat>
    <chartFormat chart="27" format="8">
      <pivotArea type="data" outline="0" fieldPosition="0">
        <references count="2">
          <reference field="4294967294" count="1" selected="0">
            <x v="0"/>
          </reference>
          <reference field="0" count="1" selected="0">
            <x v="38"/>
          </reference>
        </references>
      </pivotArea>
    </chartFormat>
    <chartFormat chart="27" format="9">
      <pivotArea type="data" outline="0" fieldPosition="0">
        <references count="2">
          <reference field="4294967294" count="1" selected="0">
            <x v="0"/>
          </reference>
          <reference field="0" count="1" selected="0">
            <x v="37"/>
          </reference>
        </references>
      </pivotArea>
    </chartFormat>
    <chartFormat chart="27" format="10">
      <pivotArea type="data" outline="0" fieldPosition="0">
        <references count="2">
          <reference field="4294967294" count="1" selected="0">
            <x v="0"/>
          </reference>
          <reference field="0" count="1" selected="0">
            <x v="35"/>
          </reference>
        </references>
      </pivotArea>
    </chartFormat>
    <chartFormat chart="27" format="11">
      <pivotArea type="data" outline="0" fieldPosition="0">
        <references count="2">
          <reference field="4294967294" count="1" selected="0">
            <x v="0"/>
          </reference>
          <reference field="0" count="1" selected="0">
            <x v="34"/>
          </reference>
        </references>
      </pivotArea>
    </chartFormat>
    <chartFormat chart="27" format="12">
      <pivotArea type="data" outline="0" fieldPosition="0">
        <references count="2">
          <reference field="4294967294" count="1" selected="0">
            <x v="0"/>
          </reference>
          <reference field="0" count="1" selected="0">
            <x v="33"/>
          </reference>
        </references>
      </pivotArea>
    </chartFormat>
    <chartFormat chart="27" format="13">
      <pivotArea type="data" outline="0" fieldPosition="0">
        <references count="2">
          <reference field="4294967294" count="1" selected="0">
            <x v="0"/>
          </reference>
          <reference field="0" count="1" selected="0">
            <x v="32"/>
          </reference>
        </references>
      </pivotArea>
    </chartFormat>
    <chartFormat chart="27" format="14">
      <pivotArea type="data" outline="0" fieldPosition="0">
        <references count="2">
          <reference field="4294967294" count="1" selected="0">
            <x v="0"/>
          </reference>
          <reference field="0" count="1" selected="0">
            <x v="31"/>
          </reference>
        </references>
      </pivotArea>
    </chartFormat>
    <chartFormat chart="27" format="15">
      <pivotArea type="data" outline="0" fieldPosition="0">
        <references count="2">
          <reference field="4294967294" count="1" selected="0">
            <x v="0"/>
          </reference>
          <reference field="0" count="1" selected="0">
            <x v="45"/>
          </reference>
        </references>
      </pivotArea>
    </chartFormat>
    <chartFormat chart="27" format="16">
      <pivotArea type="data" outline="0" fieldPosition="0">
        <references count="2">
          <reference field="4294967294" count="1" selected="0">
            <x v="0"/>
          </reference>
          <reference field="0" count="1" selected="0">
            <x v="47"/>
          </reference>
        </references>
      </pivotArea>
    </chartFormat>
    <chartFormat chart="27" format="17">
      <pivotArea type="data" outline="0" fieldPosition="0">
        <references count="2">
          <reference field="4294967294" count="1" selected="0">
            <x v="0"/>
          </reference>
          <reference field="0" count="1" selected="0">
            <x v="49"/>
          </reference>
        </references>
      </pivotArea>
    </chartFormat>
    <chartFormat chart="27" format="18">
      <pivotArea type="data" outline="0" fieldPosition="0">
        <references count="2">
          <reference field="4294967294" count="1" selected="0">
            <x v="0"/>
          </reference>
          <reference field="0" count="1" selected="0">
            <x v="48"/>
          </reference>
        </references>
      </pivotArea>
    </chartFormat>
    <chartFormat chart="27" format="19">
      <pivotArea type="data" outline="0" fieldPosition="0">
        <references count="2">
          <reference field="4294967294" count="1" selected="0">
            <x v="0"/>
          </reference>
          <reference field="0" count="1" selected="0">
            <x v="50"/>
          </reference>
        </references>
      </pivotArea>
    </chartFormat>
    <chartFormat chart="27" format="20">
      <pivotArea type="data" outline="0" fieldPosition="0">
        <references count="2">
          <reference field="4294967294" count="1" selected="0">
            <x v="0"/>
          </reference>
          <reference field="0" count="1" selected="0">
            <x v="52"/>
          </reference>
        </references>
      </pivotArea>
    </chartFormat>
    <chartFormat chart="27" format="21">
      <pivotArea type="data" outline="0" fieldPosition="0">
        <references count="2">
          <reference field="4294967294" count="1" selected="0">
            <x v="0"/>
          </reference>
          <reference field="0" count="1" selected="0">
            <x v="53"/>
          </reference>
        </references>
      </pivotArea>
    </chartFormat>
    <chartFormat chart="27" format="22">
      <pivotArea type="data" outline="0" fieldPosition="0">
        <references count="2">
          <reference field="4294967294" count="1" selected="0">
            <x v="0"/>
          </reference>
          <reference field="0" count="1" selected="0">
            <x v="54"/>
          </reference>
        </references>
      </pivotArea>
    </chartFormat>
    <chartFormat chart="27" format="23">
      <pivotArea type="data" outline="0" fieldPosition="0">
        <references count="2">
          <reference field="4294967294" count="1" selected="0">
            <x v="0"/>
          </reference>
          <reference field="0" count="1" selected="0">
            <x v="55"/>
          </reference>
        </references>
      </pivotArea>
    </chartFormat>
    <chartFormat chart="27" format="24">
      <pivotArea type="data" outline="0" fieldPosition="0">
        <references count="2">
          <reference field="4294967294" count="1" selected="0">
            <x v="0"/>
          </reference>
          <reference field="0" count="1" selected="0">
            <x v="57"/>
          </reference>
        </references>
      </pivotArea>
    </chartFormat>
    <chartFormat chart="27" format="25">
      <pivotArea type="data" outline="0" fieldPosition="0">
        <references count="2">
          <reference field="4294967294" count="1" selected="0">
            <x v="0"/>
          </reference>
          <reference field="0" count="1" selected="0">
            <x v="1"/>
          </reference>
        </references>
      </pivotArea>
    </chartFormat>
    <chartFormat chart="27" format="26">
      <pivotArea type="data" outline="0" fieldPosition="0">
        <references count="2">
          <reference field="4294967294" count="1" selected="0">
            <x v="0"/>
          </reference>
          <reference field="0" count="1" selected="0">
            <x v="4"/>
          </reference>
        </references>
      </pivotArea>
    </chartFormat>
    <chartFormat chart="27" format="27">
      <pivotArea type="data" outline="0" fieldPosition="0">
        <references count="2">
          <reference field="4294967294" count="1" selected="0">
            <x v="0"/>
          </reference>
          <reference field="0" count="1" selected="0">
            <x v="5"/>
          </reference>
        </references>
      </pivotArea>
    </chartFormat>
    <chartFormat chart="27" format="28">
      <pivotArea type="data" outline="0" fieldPosition="0">
        <references count="2">
          <reference field="4294967294" count="1" selected="0">
            <x v="0"/>
          </reference>
          <reference field="0" count="1" selected="0">
            <x v="6"/>
          </reference>
        </references>
      </pivotArea>
    </chartFormat>
    <chartFormat chart="27" format="29">
      <pivotArea type="data" outline="0" fieldPosition="0">
        <references count="2">
          <reference field="4294967294" count="1" selected="0">
            <x v="0"/>
          </reference>
          <reference field="0" count="1" selected="0">
            <x v="8"/>
          </reference>
        </references>
      </pivotArea>
    </chartFormat>
    <chartFormat chart="27" format="30">
      <pivotArea type="data" outline="0" fieldPosition="0">
        <references count="2">
          <reference field="4294967294" count="1" selected="0">
            <x v="0"/>
          </reference>
          <reference field="0" count="1" selected="0">
            <x v="10"/>
          </reference>
        </references>
      </pivotArea>
    </chartFormat>
    <chartFormat chart="27" format="31">
      <pivotArea type="data" outline="0" fieldPosition="0">
        <references count="2">
          <reference field="4294967294" count="1" selected="0">
            <x v="0"/>
          </reference>
          <reference field="0" count="1" selected="0">
            <x v="12"/>
          </reference>
        </references>
      </pivotArea>
    </chartFormat>
    <chartFormat chart="27" format="32">
      <pivotArea type="data" outline="0" fieldPosition="0">
        <references count="2">
          <reference field="4294967294" count="1" selected="0">
            <x v="0"/>
          </reference>
          <reference field="0" count="1" selected="0">
            <x v="14"/>
          </reference>
        </references>
      </pivotArea>
    </chartFormat>
    <chartFormat chart="27" format="33">
      <pivotArea type="data" outline="0" fieldPosition="0">
        <references count="2">
          <reference field="4294967294" count="1" selected="0">
            <x v="0"/>
          </reference>
          <reference field="0" count="1" selected="0">
            <x v="17"/>
          </reference>
        </references>
      </pivotArea>
    </chartFormat>
    <chartFormat chart="27" format="34">
      <pivotArea type="data" outline="0" fieldPosition="0">
        <references count="2">
          <reference field="4294967294" count="1" selected="0">
            <x v="0"/>
          </reference>
          <reference field="0" count="1" selected="0">
            <x v="16"/>
          </reference>
        </references>
      </pivotArea>
    </chartFormat>
    <chartFormat chart="27" format="35">
      <pivotArea type="data" outline="0" fieldPosition="0">
        <references count="2">
          <reference field="4294967294" count="1" selected="0">
            <x v="0"/>
          </reference>
          <reference field="0" count="1" selected="0">
            <x v="20"/>
          </reference>
        </references>
      </pivotArea>
    </chartFormat>
    <chartFormat chart="27" format="36">
      <pivotArea type="data" outline="0" fieldPosition="0">
        <references count="2">
          <reference field="4294967294" count="1" selected="0">
            <x v="0"/>
          </reference>
          <reference field="0" count="1" selected="0">
            <x v="19"/>
          </reference>
        </references>
      </pivotArea>
    </chartFormat>
    <chartFormat chart="27" format="37">
      <pivotArea type="data" outline="0" fieldPosition="0">
        <references count="2">
          <reference field="4294967294" count="1" selected="0">
            <x v="0"/>
          </reference>
          <reference field="0" count="1" selected="0">
            <x v="24"/>
          </reference>
        </references>
      </pivotArea>
    </chartFormat>
    <chartFormat chart="27" format="38">
      <pivotArea type="data" outline="0" fieldPosition="0">
        <references count="2">
          <reference field="4294967294" count="1" selected="0">
            <x v="0"/>
          </reference>
          <reference field="0" count="1" selected="0">
            <x v="27"/>
          </reference>
        </references>
      </pivotArea>
    </chartFormat>
    <chartFormat chart="27" format="39">
      <pivotArea type="data" outline="0" fieldPosition="0">
        <references count="2">
          <reference field="4294967294" count="1" selected="0">
            <x v="0"/>
          </reference>
          <reference field="0" count="1" selected="0">
            <x v="26"/>
          </reference>
        </references>
      </pivotArea>
    </chartFormat>
    <chartFormat chart="27" format="40">
      <pivotArea type="data" outline="0" fieldPosition="0">
        <references count="2">
          <reference field="4294967294" count="1" selected="0">
            <x v="0"/>
          </reference>
          <reference field="0" count="1" selected="0">
            <x v="29"/>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268638-C58E-478A-A58E-B28112D878C0}" name="PivotTable4" cacheId="0" applyNumberFormats="0" applyBorderFormats="0" applyFontFormats="0" applyPatternFormats="0" applyAlignmentFormats="0" applyWidthHeightFormats="1" dataCaption="Values" tag="0959327c-6b7c-46ec-b007-63969c6e236c" updatedVersion="8" minRefreshableVersion="3" subtotalHiddenItems="1" itemPrintTitles="1" createdVersion="5" indent="0" outline="1" outlineData="1" multipleFieldFilters="0" chartFormat="18">
  <location ref="D5:E36"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chartFormats count="4">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28C5FE-5097-49FC-803F-EEBBB9276809}" name="PivotTable12" cacheId="10"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94">
  <location ref="A71:B7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9">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 dxfId="31">
      <pivotArea outline="0" collapsedLevelsAreSubtotals="1" fieldPosition="0"/>
    </format>
  </formats>
  <chartFormats count="6">
    <chartFormat chart="78" format="0" series="1">
      <pivotArea type="data" outline="0" fieldPosition="0">
        <references count="1">
          <reference field="4294967294" count="1" selected="0">
            <x v="0"/>
          </reference>
        </references>
      </pivotArea>
    </chartFormat>
    <chartFormat chart="93" format="4" series="1">
      <pivotArea type="data" outline="0" fieldPosition="0">
        <references count="1">
          <reference field="4294967294" count="1" selected="0">
            <x v="0"/>
          </reference>
        </references>
      </pivotArea>
    </chartFormat>
    <chartFormat chart="93" format="5">
      <pivotArea type="data" outline="0" fieldPosition="0">
        <references count="2">
          <reference field="4294967294" count="1" selected="0">
            <x v="0"/>
          </reference>
          <reference field="1" count="1" selected="0">
            <x v="0"/>
          </reference>
        </references>
      </pivotArea>
    </chartFormat>
    <chartFormat chart="93" format="6">
      <pivotArea type="data" outline="0" fieldPosition="0">
        <references count="2">
          <reference field="4294967294" count="1" selected="0">
            <x v="0"/>
          </reference>
          <reference field="1" count="1" selected="0">
            <x v="1"/>
          </reference>
        </references>
      </pivotArea>
    </chartFormat>
    <chartFormat chart="78" format="1">
      <pivotArea type="data" outline="0" fieldPosition="0">
        <references count="2">
          <reference field="4294967294" count="1" selected="0">
            <x v="0"/>
          </reference>
          <reference field="1" count="1" selected="0">
            <x v="0"/>
          </reference>
        </references>
      </pivotArea>
    </chartFormat>
    <chartFormat chart="78"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CA316-379D-4B71-9FC5-60A832A1E568}" name="PivotTable1" cacheId="1" applyNumberFormats="0" applyBorderFormats="0" applyFontFormats="0" applyPatternFormats="0" applyAlignmentFormats="0" applyWidthHeightFormats="1" dataCaption="Values" tag="8ec06d7c-a181-4132-a438-718fd2c778dd"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44">
      <pivotArea outline="0" collapsedLevelsAreSubtotals="1"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020099-76B2-4530-AEF6-05E2E7C7C596}" name="PivotTable3" cacheId="3" applyNumberFormats="0" applyBorderFormats="0" applyFontFormats="0" applyPatternFormats="0" applyAlignmentFormats="0" applyWidthHeightFormats="1" dataCaption="Values" tag="982ea9be-a861-40a9-9308-f30e29794ab6" updatedVersion="8"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6">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9816D5-2AEC-4849-9FFD-478CC464F7C2}" name="PivotTable8" cacheId="7"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51">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7">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outline="0" fieldPosition="0">
        <references count="1">
          <reference field="4294967294" count="1">
            <x v="1"/>
          </reference>
        </references>
      </pivotArea>
    </format>
    <format dxfId="60">
      <pivotArea collapsedLevelsAreSubtotals="1" fieldPosition="0">
        <references count="2">
          <reference field="4294967294" count="1" selected="0">
            <x v="0"/>
          </reference>
          <reference field="2" count="0"/>
        </references>
      </pivotArea>
    </format>
    <format dxfId="59">
      <pivotArea field="2" grandRow="1" outline="0" collapsedLevelsAreSubtotals="1" axis="axisRow" fieldPosition="0">
        <references count="1">
          <reference field="4294967294" count="1" selected="0">
            <x v="0"/>
          </reference>
        </references>
      </pivotArea>
    </format>
    <format dxfId="58">
      <pivotArea field="2" type="button" dataOnly="0" labelOnly="1" outline="0" axis="axisRow" fieldPosition="0"/>
    </format>
    <format dxfId="57">
      <pivotArea dataOnly="0" labelOnly="1" outline="0" fieldPosition="0">
        <references count="1">
          <reference field="4294967294" count="2">
            <x v="0"/>
            <x v="1"/>
          </reference>
        </references>
      </pivotArea>
    </format>
    <format dxfId="56">
      <pivotArea field="2" type="button" dataOnly="0" labelOnly="1" outline="0" axis="axisRow" fieldPosition="0"/>
    </format>
    <format dxfId="55">
      <pivotArea dataOnly="0" labelOnly="1" outline="0" fieldPosition="0">
        <references count="1">
          <reference field="4294967294" count="2">
            <x v="0"/>
            <x v="1"/>
          </reference>
        </references>
      </pivotArea>
    </format>
    <format dxfId="54">
      <pivotArea field="2" type="button" dataOnly="0" labelOnly="1" outline="0" axis="axisRow" fieldPosition="0"/>
    </format>
    <format dxfId="53">
      <pivotArea dataOnly="0" labelOnly="1" outline="0" fieldPosition="0">
        <references count="1">
          <reference field="4294967294" count="2">
            <x v="0"/>
            <x v="1"/>
          </reference>
        </references>
      </pivotArea>
    </format>
    <format dxfId="52">
      <pivotArea grandRow="1" outline="0" collapsedLevelsAreSubtotals="1" fieldPosition="0"/>
    </format>
    <format dxfId="51">
      <pivotArea dataOnly="0" labelOnly="1" grandRow="1" outline="0" fieldPosition="0"/>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 chart="14"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91B7BC-B3BB-48CE-B829-C1BF55562D33}" name="PivotTable11" cacheId="9"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72">
  <location ref="A65:B6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showDataAs="percentOfTotal" baseField="0" baseItem="0" numFmtId="10"/>
  </dataFields>
  <formats count="9">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outline="0" fieldPosition="0">
        <references count="1">
          <reference field="4294967294" count="1">
            <x v="0"/>
          </reference>
        </references>
      </pivotArea>
    </format>
    <format dxfId="69">
      <pivotArea collapsedLevelsAreSubtotals="1" fieldPosition="0">
        <references count="1">
          <reference field="1" count="1">
            <x v="0"/>
          </reference>
        </references>
      </pivotArea>
    </format>
    <format dxfId="68">
      <pivotArea collapsedLevelsAreSubtotals="1" fieldPosition="0">
        <references count="1">
          <reference field="1" count="1">
            <x v="1"/>
          </reference>
        </references>
      </pivotArea>
    </format>
  </formats>
  <chartFormats count="10">
    <chartFormat chart="56" format="0"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 chart="63" format="5">
      <pivotArea type="data" outline="0" fieldPosition="0">
        <references count="2">
          <reference field="4294967294" count="1" selected="0">
            <x v="0"/>
          </reference>
          <reference field="1" count="1" selected="0">
            <x v="0"/>
          </reference>
        </references>
      </pivotArea>
    </chartFormat>
    <chartFormat chart="63" format="6">
      <pivotArea type="data" outline="0" fieldPosition="0">
        <references count="2">
          <reference field="4294967294" count="1" selected="0">
            <x v="0"/>
          </reference>
          <reference field="1" count="1" selected="0">
            <x v="1"/>
          </reference>
        </references>
      </pivotArea>
    </chartFormat>
    <chartFormat chart="67" format="0" series="1">
      <pivotArea type="data" outline="0" fieldPosition="0">
        <references count="1">
          <reference field="4294967294" count="1" selected="0">
            <x v="0"/>
          </reference>
        </references>
      </pivotArea>
    </chartFormat>
    <chartFormat chart="71" format="4" series="1">
      <pivotArea type="data" outline="0" fieldPosition="0">
        <references count="1">
          <reference field="4294967294" count="1" selected="0">
            <x v="0"/>
          </reference>
        </references>
      </pivotArea>
    </chartFormat>
    <chartFormat chart="71" format="5">
      <pivotArea type="data" outline="0" fieldPosition="0">
        <references count="2">
          <reference field="4294967294" count="1" selected="0">
            <x v="0"/>
          </reference>
          <reference field="1" count="1" selected="0">
            <x v="0"/>
          </reference>
        </references>
      </pivotArea>
    </chartFormat>
    <chartFormat chart="71" format="6">
      <pivotArea type="data" outline="0" fieldPosition="0">
        <references count="2">
          <reference field="4294967294" count="1" selected="0">
            <x v="0"/>
          </reference>
          <reference field="1" count="1" selected="0">
            <x v="1"/>
          </reference>
        </references>
      </pivotArea>
    </chartFormat>
    <chartFormat chart="67" format="1">
      <pivotArea type="data" outline="0" fieldPosition="0">
        <references count="2">
          <reference field="4294967294" count="1" selected="0">
            <x v="0"/>
          </reference>
          <reference field="1" count="1" selected="0">
            <x v="0"/>
          </reference>
        </references>
      </pivotArea>
    </chartFormat>
    <chartFormat chart="67"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D52D9A-8D42-459E-A4A3-C02C554F29BB}" name="PivotTable7" cacheId="6" applyNumberFormats="0" applyBorderFormats="0" applyFontFormats="0" applyPatternFormats="0" applyAlignmentFormats="0" applyWidthHeightFormats="1" dataCaption="Values" tag="05f92905-69e9-4eac-bced-083bc5489118" updatedVersion="8" minRefreshableVersion="3" subtotalHiddenItems="1" itemPrintTitles="1" createdVersion="5" indent="0" outline="1" outlineData="1" multipleFieldFilters="0" chartFormat="52">
  <location ref="R5:S36" firstHeaderRow="1" firstDataRow="1" firstDataCol="1"/>
  <pivotFields count="3">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8">
    <format dxfId="84">
      <pivotArea outline="0" collapsedLevelsAreSubtotals="1"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collapsedLevelsAreSubtotals="1" fieldPosition="0">
        <references count="1">
          <reference field="0" count="11">
            <x v="30"/>
            <x v="31"/>
            <x v="32"/>
            <x v="33"/>
            <x v="34"/>
            <x v="35"/>
            <x v="36"/>
            <x v="37"/>
            <x v="38"/>
            <x v="39"/>
            <x v="40"/>
          </reference>
        </references>
      </pivotArea>
    </format>
    <format dxfId="78">
      <pivotArea collapsedLevelsAreSubtotals="1" fieldPosition="0">
        <references count="1">
          <reference field="0" count="17">
            <x v="41"/>
            <x v="42"/>
            <x v="43"/>
            <x v="44"/>
            <x v="45"/>
            <x v="46"/>
            <x v="47"/>
            <x v="48"/>
            <x v="49"/>
            <x v="50"/>
            <x v="51"/>
            <x v="52"/>
            <x v="53"/>
            <x v="54"/>
            <x v="55"/>
            <x v="56"/>
            <x v="57"/>
          </reference>
        </references>
      </pivotArea>
    </format>
    <format dxfId="77">
      <pivotArea grandRow="1" outline="0" collapsedLevelsAreSubtotals="1" fieldPosition="0"/>
    </format>
  </formats>
  <chartFormats count="15">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0" count="1" selected="0">
            <x v="32"/>
          </reference>
        </references>
      </pivotArea>
    </chartFormat>
    <chartFormat chart="47" format="4">
      <pivotArea type="data" outline="0" fieldPosition="0">
        <references count="2">
          <reference field="4294967294" count="1" selected="0">
            <x v="0"/>
          </reference>
          <reference field="0" count="1" selected="0">
            <x v="33"/>
          </reference>
        </references>
      </pivotArea>
    </chartFormat>
    <chartFormat chart="47" format="5">
      <pivotArea type="data" outline="0" fieldPosition="0">
        <references count="2">
          <reference field="4294967294" count="1" selected="0">
            <x v="0"/>
          </reference>
          <reference field="0" count="1" selected="0">
            <x v="35"/>
          </reference>
        </references>
      </pivotArea>
    </chartFormat>
    <chartFormat chart="47" format="6">
      <pivotArea type="data" outline="0" fieldPosition="0">
        <references count="2">
          <reference field="4294967294" count="1" selected="0">
            <x v="0"/>
          </reference>
          <reference field="0" count="1" selected="0">
            <x v="34"/>
          </reference>
        </references>
      </pivotArea>
    </chartFormat>
    <chartFormat chart="47" format="7">
      <pivotArea type="data" outline="0" fieldPosition="0">
        <references count="2">
          <reference field="4294967294" count="1" selected="0">
            <x v="0"/>
          </reference>
          <reference field="0" count="1" selected="0">
            <x v="38"/>
          </reference>
        </references>
      </pivotArea>
    </chartFormat>
    <chartFormat chart="47" format="8">
      <pivotArea type="data" outline="0" fieldPosition="0">
        <references count="2">
          <reference field="4294967294" count="1" selected="0">
            <x v="0"/>
          </reference>
          <reference field="0" count="1" selected="0">
            <x v="40"/>
          </reference>
        </references>
      </pivotArea>
    </chartFormat>
    <chartFormat chart="47" format="9">
      <pivotArea type="data" outline="0" fieldPosition="0">
        <references count="2">
          <reference field="4294967294" count="1" selected="0">
            <x v="0"/>
          </reference>
          <reference field="0" count="1" selected="0">
            <x v="42"/>
          </reference>
        </references>
      </pivotArea>
    </chartFormat>
    <chartFormat chart="47" format="10">
      <pivotArea type="data" outline="0" fieldPosition="0">
        <references count="2">
          <reference field="4294967294" count="1" selected="0">
            <x v="0"/>
          </reference>
          <reference field="0" count="1" selected="0">
            <x v="47"/>
          </reference>
        </references>
      </pivotArea>
    </chartFormat>
    <chartFormat chart="47" format="11">
      <pivotArea type="data" outline="0" fieldPosition="0">
        <references count="2">
          <reference field="4294967294" count="1" selected="0">
            <x v="0"/>
          </reference>
          <reference field="0" count="1" selected="0">
            <x v="49"/>
          </reference>
        </references>
      </pivotArea>
    </chartFormat>
    <chartFormat chart="47" format="12">
      <pivotArea type="data" outline="0" fieldPosition="0">
        <references count="2">
          <reference field="4294967294" count="1" selected="0">
            <x v="0"/>
          </reference>
          <reference field="0" count="1" selected="0">
            <x v="54"/>
          </reference>
        </references>
      </pivotArea>
    </chartFormat>
    <chartFormat chart="51" format="2" series="1">
      <pivotArea type="data" outline="0" fieldPosition="0">
        <references count="1">
          <reference field="4294967294" count="1" selected="0">
            <x v="0"/>
          </reference>
        </references>
      </pivotArea>
    </chartFormat>
    <chartFormat chart="47" format="13">
      <pivotArea type="data" outline="0" fieldPosition="0">
        <references count="2">
          <reference field="4294967294" count="1" selected="0">
            <x v="0"/>
          </reference>
          <reference field="0" count="1" selected="0">
            <x v="17"/>
          </reference>
        </references>
      </pivotArea>
    </chartFormat>
    <chartFormat chart="47" format="14">
      <pivotArea type="data" outline="0" fieldPosition="0">
        <references count="2">
          <reference field="4294967294" count="1" selected="0">
            <x v="0"/>
          </reference>
          <reference field="0" count="1" selected="0">
            <x v="18"/>
          </reference>
        </references>
      </pivotArea>
    </chartFormat>
    <chartFormat chart="47" format="15">
      <pivotArea type="data" outline="0" fieldPosition="0">
        <references count="2">
          <reference field="4294967294" count="1" selected="0">
            <x v="0"/>
          </reference>
          <reference field="0" count="1" selected="0">
            <x v="2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6FC706-5AF5-418E-A9FE-28DD6737112A}" name="PivotTable9" cacheId="8"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56">
  <location ref="A52:B6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9">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grandRow="1" outline="0" collapsedLevelsAreSubtotals="1" fieldPosition="0"/>
    </format>
    <format dxfId="86">
      <pivotArea dataOnly="0" labelOnly="1" grandRow="1" outline="0" fieldPosition="0"/>
    </format>
    <format dxfId="85">
      <pivotArea collapsedLevelsAreSubtotals="1" fieldPosition="0">
        <references count="1">
          <reference field="1" count="0"/>
        </references>
      </pivotArea>
    </format>
  </formats>
  <chartFormats count="1">
    <chartFormat chart="5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070155-4320-4FD4-9DDD-BC6C6EF26267}" name="PivotTable2" cacheId="2" applyNumberFormats="0" applyBorderFormats="0" applyFontFormats="0" applyPatternFormats="0" applyAlignmentFormats="0" applyWidthHeightFormats="1" dataCaption="Values" tag="4c311211-3771-4353-84ca-caeb38233c6b"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6">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671489-3B21-402C-85B8-4BE145911EA7}" name="PivotTable5" cacheId="4" applyNumberFormats="0" applyBorderFormats="0" applyFontFormats="0" applyPatternFormats="0" applyAlignmentFormats="0" applyWidthHeightFormats="1" dataCaption="Values" tag="f3bd6278-42a9-4b34-92f7-158ce14da975" updatedVersion="8" minRefreshableVersion="3" subtotalHiddenItems="1" itemPrintTitles="1" createdVersion="5" indent="0" outline="1" outlineData="1" multipleFieldFilters="0" chartFormat="18">
  <location ref="L5:M36"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104">
      <pivotArea outline="0" collapsedLevelsAreSubtotals="1"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9DF895A-7CEC-463C-BAEE-9E2AAB46F3E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2"/>
    <pivotTable tabId="1" name="PivotTable13"/>
    <pivotTable tabId="1" name="PivotTable14"/>
  </pivotTables>
  <data>
    <olap pivotCacheId="147654187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6D57566-F03A-474C-9525-A95D4B0BBA05}" sourceName="[Calendar_Table].[Date (Year)]">
  <pivotTables>
    <pivotTable tabId="1" name="PivotTable14"/>
  </pivotTables>
  <data>
    <olap pivotCacheId="147654187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36C0272-9652-4FE3-BF88-08BE059B8306}" cache="Slicer_Date__Year" caption="Date (Year)" columnCount="2" showCaption="0"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9EB11ED-8F05-4DB4-828E-32CC358FC1B5}" cache="Slicer_Date__Month" caption="Date (Month)" showCaption="0" level="1" style="MyStyle2" rowHeight="201168"/>
  <slicer name="Date (Year) 1" xr10:uid="{5ACC0DC5-E255-40D9-8190-667A8991066C}" cache="Slicer_Date__Year" caption="Date (Year)" columnCount="2" showCaption="0" level="1"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lgn="ctr">
          <a:defRPr sz="1100" b="0" i="0" u="none" strike="noStrike">
            <a:solidFill>
              <a:srgbClr val="000000"/>
            </a:solidFill>
            <a:latin typeface="Calibri"/>
            <a:ea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8579-5437-4610-9524-F251ACA893AD}">
  <dimension ref="A3:S93"/>
  <sheetViews>
    <sheetView topLeftCell="D3" zoomScale="120" zoomScaleNormal="120" workbookViewId="0">
      <selection activeCell="A90" sqref="A90"/>
    </sheetView>
  </sheetViews>
  <sheetFormatPr defaultRowHeight="14.5" x14ac:dyDescent="0.35"/>
  <cols>
    <col min="1" max="1" width="32.90625" bestFit="1" customWidth="1"/>
    <col min="2" max="2" width="10.90625" customWidth="1"/>
    <col min="3" max="3" width="14.08984375" customWidth="1"/>
    <col min="4" max="4" width="28.6328125" customWidth="1"/>
    <col min="5" max="5" width="24.81640625" bestFit="1" customWidth="1"/>
    <col min="12" max="12" width="37.26953125" bestFit="1" customWidth="1"/>
    <col min="13" max="13" width="24.81640625" bestFit="1" customWidth="1"/>
    <col min="15" max="15" width="16.54296875" bestFit="1" customWidth="1"/>
    <col min="16" max="16" width="24.81640625" bestFit="1" customWidth="1"/>
    <col min="18" max="18" width="20.453125" bestFit="1" customWidth="1"/>
    <col min="19" max="19" width="25.54296875" bestFit="1" customWidth="1"/>
  </cols>
  <sheetData>
    <row r="3" spans="1:19" x14ac:dyDescent="0.35">
      <c r="L3" t="s">
        <v>7</v>
      </c>
      <c r="O3" t="s">
        <v>8</v>
      </c>
      <c r="R3" t="s">
        <v>9</v>
      </c>
    </row>
    <row r="4" spans="1:19" x14ac:dyDescent="0.35">
      <c r="A4" s="3"/>
    </row>
    <row r="5" spans="1:19" x14ac:dyDescent="0.35">
      <c r="A5" s="3" t="s">
        <v>0</v>
      </c>
      <c r="D5" s="4" t="s">
        <v>5</v>
      </c>
      <c r="E5" s="3" t="s">
        <v>0</v>
      </c>
      <c r="L5" s="4" t="s">
        <v>5</v>
      </c>
      <c r="M5" s="3" t="s">
        <v>0</v>
      </c>
      <c r="O5" s="4" t="s">
        <v>5</v>
      </c>
      <c r="P5" s="3" t="s">
        <v>1</v>
      </c>
      <c r="R5" s="4" t="s">
        <v>5</v>
      </c>
      <c r="S5" s="3" t="s">
        <v>2</v>
      </c>
    </row>
    <row r="6" spans="1:19" ht="20" x14ac:dyDescent="0.4">
      <c r="A6" s="20">
        <v>935</v>
      </c>
      <c r="D6" s="5" t="s">
        <v>44</v>
      </c>
      <c r="E6" s="20">
        <v>35</v>
      </c>
      <c r="L6" s="5" t="s">
        <v>44</v>
      </c>
      <c r="M6" s="20">
        <v>35</v>
      </c>
      <c r="O6" s="5" t="s">
        <v>44</v>
      </c>
      <c r="P6" s="20">
        <v>36.057142857142857</v>
      </c>
      <c r="R6" s="5" t="s">
        <v>44</v>
      </c>
      <c r="S6" s="20">
        <v>4</v>
      </c>
    </row>
    <row r="7" spans="1:19" ht="20" x14ac:dyDescent="0.4">
      <c r="A7" s="3"/>
      <c r="D7" s="5" t="s">
        <v>45</v>
      </c>
      <c r="E7" s="20">
        <v>35</v>
      </c>
      <c r="L7" s="5" t="s">
        <v>45</v>
      </c>
      <c r="M7" s="20">
        <v>35</v>
      </c>
      <c r="O7" s="5" t="s">
        <v>45</v>
      </c>
      <c r="P7" s="20">
        <v>35.828571428571429</v>
      </c>
      <c r="R7" s="5" t="s">
        <v>45</v>
      </c>
      <c r="S7" s="20">
        <v>4.625</v>
      </c>
    </row>
    <row r="8" spans="1:19" ht="20" x14ac:dyDescent="0.4">
      <c r="A8" s="3"/>
      <c r="D8" s="5" t="s">
        <v>46</v>
      </c>
      <c r="E8" s="20">
        <v>37</v>
      </c>
      <c r="L8" s="5" t="s">
        <v>46</v>
      </c>
      <c r="M8" s="20">
        <v>37</v>
      </c>
      <c r="O8" s="5" t="s">
        <v>46</v>
      </c>
      <c r="P8" s="20">
        <v>35.297297297297298</v>
      </c>
      <c r="R8" s="5" t="s">
        <v>46</v>
      </c>
      <c r="S8" s="20">
        <v>3.75</v>
      </c>
    </row>
    <row r="9" spans="1:19" ht="20" x14ac:dyDescent="0.4">
      <c r="A9" s="3"/>
      <c r="D9" s="5" t="s">
        <v>47</v>
      </c>
      <c r="E9" s="20">
        <v>31</v>
      </c>
      <c r="L9" s="5" t="s">
        <v>47</v>
      </c>
      <c r="M9" s="20">
        <v>31</v>
      </c>
      <c r="O9" s="5" t="s">
        <v>47</v>
      </c>
      <c r="P9" s="20">
        <v>33</v>
      </c>
      <c r="R9" s="5" t="s">
        <v>47</v>
      </c>
      <c r="S9" s="20">
        <v>6.333333333333333</v>
      </c>
    </row>
    <row r="10" spans="1:19" ht="20" x14ac:dyDescent="0.4">
      <c r="A10" s="3" t="s">
        <v>1</v>
      </c>
      <c r="D10" s="5" t="s">
        <v>48</v>
      </c>
      <c r="E10" s="20">
        <v>24</v>
      </c>
      <c r="L10" s="5" t="s">
        <v>48</v>
      </c>
      <c r="M10" s="20">
        <v>24</v>
      </c>
      <c r="O10" s="5" t="s">
        <v>48</v>
      </c>
      <c r="P10" s="20">
        <v>38.958333333333336</v>
      </c>
      <c r="R10" s="5" t="s">
        <v>48</v>
      </c>
      <c r="S10" s="20">
        <v>6.4</v>
      </c>
    </row>
    <row r="11" spans="1:19" ht="20" x14ac:dyDescent="0.4">
      <c r="A11" s="2">
        <v>34.663101604278076</v>
      </c>
      <c r="D11" s="5" t="s">
        <v>49</v>
      </c>
      <c r="E11" s="20">
        <v>28</v>
      </c>
      <c r="L11" s="5" t="s">
        <v>49</v>
      </c>
      <c r="M11" s="20">
        <v>28</v>
      </c>
      <c r="O11" s="5" t="s">
        <v>49</v>
      </c>
      <c r="P11" s="20">
        <v>37.428571428571431</v>
      </c>
      <c r="R11" s="5" t="s">
        <v>49</v>
      </c>
      <c r="S11" s="20">
        <v>5.0999999999999996</v>
      </c>
    </row>
    <row r="12" spans="1:19" ht="20" x14ac:dyDescent="0.4">
      <c r="A12" s="3"/>
      <c r="D12" s="5" t="s">
        <v>50</v>
      </c>
      <c r="E12" s="20">
        <v>29</v>
      </c>
      <c r="L12" s="5" t="s">
        <v>50</v>
      </c>
      <c r="M12" s="20">
        <v>29</v>
      </c>
      <c r="O12" s="5" t="s">
        <v>50</v>
      </c>
      <c r="P12" s="20">
        <v>36.068965517241381</v>
      </c>
      <c r="R12" s="5" t="s">
        <v>50</v>
      </c>
      <c r="S12" s="20">
        <v>4.1428571428571432</v>
      </c>
    </row>
    <row r="13" spans="1:19" ht="20" x14ac:dyDescent="0.4">
      <c r="A13" s="3"/>
      <c r="D13" s="5" t="s">
        <v>51</v>
      </c>
      <c r="E13" s="20">
        <v>34</v>
      </c>
      <c r="L13" s="5" t="s">
        <v>51</v>
      </c>
      <c r="M13" s="20">
        <v>34</v>
      </c>
      <c r="O13" s="5" t="s">
        <v>51</v>
      </c>
      <c r="P13" s="20">
        <v>32.235294117647058</v>
      </c>
      <c r="R13" s="5" t="s">
        <v>51</v>
      </c>
      <c r="S13" s="20">
        <v>5.8</v>
      </c>
    </row>
    <row r="14" spans="1:19" ht="20" x14ac:dyDescent="0.4">
      <c r="A14" s="3" t="s">
        <v>2</v>
      </c>
      <c r="D14" s="5" t="s">
        <v>52</v>
      </c>
      <c r="E14" s="20">
        <v>32</v>
      </c>
      <c r="L14" s="5" t="s">
        <v>52</v>
      </c>
      <c r="M14" s="20">
        <v>32</v>
      </c>
      <c r="O14" s="5" t="s">
        <v>52</v>
      </c>
      <c r="P14" s="20">
        <v>37.71875</v>
      </c>
      <c r="R14" s="5" t="s">
        <v>52</v>
      </c>
      <c r="S14" s="20">
        <v>3.8333333333333335</v>
      </c>
    </row>
    <row r="15" spans="1:19" ht="20" x14ac:dyDescent="0.4">
      <c r="A15" s="2">
        <v>4.9465020576131691</v>
      </c>
      <c r="D15" s="5" t="s">
        <v>53</v>
      </c>
      <c r="E15" s="20">
        <v>29</v>
      </c>
      <c r="L15" s="5" t="s">
        <v>53</v>
      </c>
      <c r="M15" s="20">
        <v>29</v>
      </c>
      <c r="O15" s="5" t="s">
        <v>53</v>
      </c>
      <c r="P15" s="20">
        <v>31.275862068965516</v>
      </c>
      <c r="R15" s="5" t="s">
        <v>53</v>
      </c>
      <c r="S15" s="20">
        <v>4</v>
      </c>
    </row>
    <row r="16" spans="1:19" ht="20" x14ac:dyDescent="0.4">
      <c r="D16" s="5" t="s">
        <v>54</v>
      </c>
      <c r="E16" s="20">
        <v>21</v>
      </c>
      <c r="L16" s="5" t="s">
        <v>54</v>
      </c>
      <c r="M16" s="20">
        <v>21</v>
      </c>
      <c r="O16" s="5" t="s">
        <v>54</v>
      </c>
      <c r="P16" s="20">
        <v>35.857142857142854</v>
      </c>
      <c r="R16" s="5" t="s">
        <v>54</v>
      </c>
      <c r="S16" s="20">
        <v>6.833333333333333</v>
      </c>
    </row>
    <row r="17" spans="4:19" ht="20" x14ac:dyDescent="0.4">
      <c r="D17" s="5" t="s">
        <v>55</v>
      </c>
      <c r="E17" s="20">
        <v>29</v>
      </c>
      <c r="L17" s="5" t="s">
        <v>55</v>
      </c>
      <c r="M17" s="20">
        <v>29</v>
      </c>
      <c r="O17" s="5" t="s">
        <v>55</v>
      </c>
      <c r="P17" s="20">
        <v>33.068965517241381</v>
      </c>
      <c r="R17" s="5" t="s">
        <v>55</v>
      </c>
      <c r="S17" s="20">
        <v>4.833333333333333</v>
      </c>
    </row>
    <row r="18" spans="4:19" ht="20" x14ac:dyDescent="0.4">
      <c r="D18" s="5" t="s">
        <v>56</v>
      </c>
      <c r="E18" s="20">
        <v>24</v>
      </c>
      <c r="L18" s="5" t="s">
        <v>56</v>
      </c>
      <c r="M18" s="20">
        <v>24</v>
      </c>
      <c r="O18" s="5" t="s">
        <v>56</v>
      </c>
      <c r="P18" s="20">
        <v>34.708333333333336</v>
      </c>
      <c r="R18" s="5" t="s">
        <v>56</v>
      </c>
      <c r="S18" s="20">
        <v>4</v>
      </c>
    </row>
    <row r="19" spans="4:19" ht="20" x14ac:dyDescent="0.4">
      <c r="D19" s="5" t="s">
        <v>57</v>
      </c>
      <c r="E19" s="20">
        <v>28</v>
      </c>
      <c r="L19" s="5" t="s">
        <v>57</v>
      </c>
      <c r="M19" s="20">
        <v>28</v>
      </c>
      <c r="O19" s="5" t="s">
        <v>57</v>
      </c>
      <c r="P19" s="20">
        <v>35.357142857142854</v>
      </c>
      <c r="R19" s="5" t="s">
        <v>57</v>
      </c>
      <c r="S19" s="20">
        <v>5.7142857142857144</v>
      </c>
    </row>
    <row r="20" spans="4:19" ht="20" x14ac:dyDescent="0.4">
      <c r="D20" s="5" t="s">
        <v>58</v>
      </c>
      <c r="E20" s="20">
        <v>44</v>
      </c>
      <c r="L20" s="5" t="s">
        <v>58</v>
      </c>
      <c r="M20" s="20">
        <v>44</v>
      </c>
      <c r="O20" s="5" t="s">
        <v>58</v>
      </c>
      <c r="P20" s="20">
        <v>37.613636363636367</v>
      </c>
      <c r="R20" s="5" t="s">
        <v>58</v>
      </c>
      <c r="S20" s="20">
        <v>4.384615384615385</v>
      </c>
    </row>
    <row r="21" spans="4:19" ht="20" x14ac:dyDescent="0.4">
      <c r="D21" s="5" t="s">
        <v>59</v>
      </c>
      <c r="E21" s="20">
        <v>35</v>
      </c>
      <c r="L21" s="5" t="s">
        <v>59</v>
      </c>
      <c r="M21" s="20">
        <v>35</v>
      </c>
      <c r="O21" s="5" t="s">
        <v>59</v>
      </c>
      <c r="P21" s="20">
        <v>33.514285714285712</v>
      </c>
      <c r="R21" s="5" t="s">
        <v>59</v>
      </c>
      <c r="S21" s="20">
        <v>5.5</v>
      </c>
    </row>
    <row r="22" spans="4:19" ht="20" x14ac:dyDescent="0.4">
      <c r="D22" s="5" t="s">
        <v>60</v>
      </c>
      <c r="E22" s="20">
        <v>38</v>
      </c>
      <c r="L22" s="5" t="s">
        <v>60</v>
      </c>
      <c r="M22" s="20">
        <v>38</v>
      </c>
      <c r="O22" s="5" t="s">
        <v>60</v>
      </c>
      <c r="P22" s="20">
        <v>32.131578947368418</v>
      </c>
      <c r="R22" s="5" t="s">
        <v>60</v>
      </c>
      <c r="S22" s="20">
        <v>5.8888888888888893</v>
      </c>
    </row>
    <row r="23" spans="4:19" ht="20" x14ac:dyDescent="0.4">
      <c r="D23" s="5" t="s">
        <v>61</v>
      </c>
      <c r="E23" s="20">
        <v>28</v>
      </c>
      <c r="L23" s="5" t="s">
        <v>61</v>
      </c>
      <c r="M23" s="20">
        <v>28</v>
      </c>
      <c r="O23" s="5" t="s">
        <v>61</v>
      </c>
      <c r="P23" s="20">
        <v>37.571428571428569</v>
      </c>
      <c r="R23" s="5" t="s">
        <v>61</v>
      </c>
      <c r="S23" s="20">
        <v>6.1818181818181817</v>
      </c>
    </row>
    <row r="24" spans="4:19" ht="20" x14ac:dyDescent="0.4">
      <c r="D24" s="5" t="s">
        <v>62</v>
      </c>
      <c r="E24" s="20">
        <v>34</v>
      </c>
      <c r="L24" s="5" t="s">
        <v>62</v>
      </c>
      <c r="M24" s="20">
        <v>34</v>
      </c>
      <c r="O24" s="5" t="s">
        <v>62</v>
      </c>
      <c r="P24" s="20">
        <v>31.911764705882351</v>
      </c>
      <c r="R24" s="5" t="s">
        <v>62</v>
      </c>
      <c r="S24" s="20">
        <v>4</v>
      </c>
    </row>
    <row r="25" spans="4:19" ht="20" x14ac:dyDescent="0.4">
      <c r="D25" s="5" t="s">
        <v>63</v>
      </c>
      <c r="E25" s="20">
        <v>26</v>
      </c>
      <c r="L25" s="5" t="s">
        <v>63</v>
      </c>
      <c r="M25" s="20">
        <v>26</v>
      </c>
      <c r="O25" s="5" t="s">
        <v>63</v>
      </c>
      <c r="P25" s="20">
        <v>34.03846153846154</v>
      </c>
      <c r="R25" s="5" t="s">
        <v>63</v>
      </c>
      <c r="S25" s="20">
        <v>4.333333333333333</v>
      </c>
    </row>
    <row r="26" spans="4:19" ht="20" x14ac:dyDescent="0.4">
      <c r="D26" s="5" t="s">
        <v>64</v>
      </c>
      <c r="E26" s="20">
        <v>36</v>
      </c>
      <c r="L26" s="5" t="s">
        <v>64</v>
      </c>
      <c r="M26" s="20">
        <v>36</v>
      </c>
      <c r="O26" s="5" t="s">
        <v>64</v>
      </c>
      <c r="P26" s="20">
        <v>33.722222222222221</v>
      </c>
      <c r="R26" s="5" t="s">
        <v>64</v>
      </c>
      <c r="S26" s="20">
        <v>4.8461538461538458</v>
      </c>
    </row>
    <row r="27" spans="4:19" ht="20" x14ac:dyDescent="0.4">
      <c r="D27" s="5" t="s">
        <v>65</v>
      </c>
      <c r="E27" s="20">
        <v>32</v>
      </c>
      <c r="L27" s="5" t="s">
        <v>65</v>
      </c>
      <c r="M27" s="20">
        <v>32</v>
      </c>
      <c r="O27" s="5" t="s">
        <v>65</v>
      </c>
      <c r="P27" s="20">
        <v>31.5625</v>
      </c>
      <c r="R27" s="5" t="s">
        <v>65</v>
      </c>
      <c r="S27" s="20">
        <v>3</v>
      </c>
    </row>
    <row r="28" spans="4:19" ht="20" x14ac:dyDescent="0.4">
      <c r="D28" s="5" t="s">
        <v>66</v>
      </c>
      <c r="E28" s="20">
        <v>25</v>
      </c>
      <c r="L28" s="5" t="s">
        <v>66</v>
      </c>
      <c r="M28" s="20">
        <v>25</v>
      </c>
      <c r="O28" s="5" t="s">
        <v>66</v>
      </c>
      <c r="P28" s="20">
        <v>37.24</v>
      </c>
      <c r="R28" s="5" t="s">
        <v>66</v>
      </c>
      <c r="S28" s="20">
        <v>3.8333333333333335</v>
      </c>
    </row>
    <row r="29" spans="4:19" ht="20" x14ac:dyDescent="0.4">
      <c r="D29" s="5" t="s">
        <v>67</v>
      </c>
      <c r="E29" s="20">
        <v>30</v>
      </c>
      <c r="L29" s="5" t="s">
        <v>67</v>
      </c>
      <c r="M29" s="20">
        <v>30</v>
      </c>
      <c r="O29" s="5" t="s">
        <v>67</v>
      </c>
      <c r="P29" s="20">
        <v>34.9</v>
      </c>
      <c r="R29" s="5" t="s">
        <v>67</v>
      </c>
      <c r="S29" s="20">
        <v>6.5</v>
      </c>
    </row>
    <row r="30" spans="4:19" ht="20" x14ac:dyDescent="0.4">
      <c r="D30" s="5" t="s">
        <v>68</v>
      </c>
      <c r="E30" s="20">
        <v>29</v>
      </c>
      <c r="L30" s="5" t="s">
        <v>68</v>
      </c>
      <c r="M30" s="20">
        <v>29</v>
      </c>
      <c r="O30" s="5" t="s">
        <v>68</v>
      </c>
      <c r="P30" s="20">
        <v>35.413793103448278</v>
      </c>
      <c r="R30" s="5" t="s">
        <v>68</v>
      </c>
      <c r="S30" s="20">
        <v>5.7</v>
      </c>
    </row>
    <row r="31" spans="4:19" ht="20" x14ac:dyDescent="0.4">
      <c r="D31" s="5" t="s">
        <v>69</v>
      </c>
      <c r="E31" s="20">
        <v>32</v>
      </c>
      <c r="L31" s="5" t="s">
        <v>69</v>
      </c>
      <c r="M31" s="20">
        <v>32</v>
      </c>
      <c r="O31" s="5" t="s">
        <v>69</v>
      </c>
      <c r="P31" s="20">
        <v>33.5625</v>
      </c>
      <c r="R31" s="5" t="s">
        <v>69</v>
      </c>
      <c r="S31" s="20">
        <v>4.5714285714285712</v>
      </c>
    </row>
    <row r="32" spans="4:19" ht="20" x14ac:dyDescent="0.4">
      <c r="D32" s="5" t="s">
        <v>70</v>
      </c>
      <c r="E32" s="20">
        <v>29</v>
      </c>
      <c r="L32" s="5" t="s">
        <v>70</v>
      </c>
      <c r="M32" s="20">
        <v>29</v>
      </c>
      <c r="O32" s="5" t="s">
        <v>70</v>
      </c>
      <c r="P32" s="20">
        <v>32.586206896551722</v>
      </c>
      <c r="R32" s="5" t="s">
        <v>70</v>
      </c>
      <c r="S32" s="20">
        <v>3.2727272727272729</v>
      </c>
    </row>
    <row r="33" spans="1:19" ht="20" x14ac:dyDescent="0.4">
      <c r="D33" s="5" t="s">
        <v>71</v>
      </c>
      <c r="E33" s="20">
        <v>33</v>
      </c>
      <c r="L33" s="5" t="s">
        <v>71</v>
      </c>
      <c r="M33" s="20">
        <v>33</v>
      </c>
      <c r="O33" s="5" t="s">
        <v>71</v>
      </c>
      <c r="P33" s="20">
        <v>33.030303030303031</v>
      </c>
      <c r="R33" s="5" t="s">
        <v>71</v>
      </c>
      <c r="S33" s="20">
        <v>3</v>
      </c>
    </row>
    <row r="34" spans="1:19" ht="20" x14ac:dyDescent="0.4">
      <c r="D34" s="5" t="s">
        <v>72</v>
      </c>
      <c r="E34" s="20">
        <v>32</v>
      </c>
      <c r="L34" s="5" t="s">
        <v>72</v>
      </c>
      <c r="M34" s="20">
        <v>32</v>
      </c>
      <c r="O34" s="5" t="s">
        <v>72</v>
      </c>
      <c r="P34" s="20">
        <v>33.25</v>
      </c>
      <c r="R34" s="5" t="s">
        <v>72</v>
      </c>
      <c r="S34" s="20">
        <v>7.2857142857142856</v>
      </c>
    </row>
    <row r="35" spans="1:19" ht="20" x14ac:dyDescent="0.4">
      <c r="D35" s="5" t="s">
        <v>73</v>
      </c>
      <c r="E35" s="20">
        <v>36</v>
      </c>
      <c r="L35" s="5" t="s">
        <v>73</v>
      </c>
      <c r="M35" s="20">
        <v>36</v>
      </c>
      <c r="O35" s="5" t="s">
        <v>73</v>
      </c>
      <c r="P35" s="20">
        <v>36.611111111111114</v>
      </c>
      <c r="R35" s="5" t="s">
        <v>73</v>
      </c>
      <c r="S35" s="20">
        <v>5.7142857142857144</v>
      </c>
    </row>
    <row r="36" spans="1:19" ht="20" x14ac:dyDescent="0.4">
      <c r="D36" s="5" t="s">
        <v>6</v>
      </c>
      <c r="E36" s="20">
        <v>935</v>
      </c>
      <c r="L36" s="5" t="s">
        <v>6</v>
      </c>
      <c r="M36" s="20">
        <v>935</v>
      </c>
      <c r="O36" s="5" t="s">
        <v>6</v>
      </c>
      <c r="P36" s="2">
        <v>34.663101604278076</v>
      </c>
      <c r="R36" s="5" t="s">
        <v>6</v>
      </c>
      <c r="S36" s="2">
        <v>4.9465020576131691</v>
      </c>
    </row>
    <row r="39" spans="1:19" x14ac:dyDescent="0.35">
      <c r="A39" s="8" t="s">
        <v>5</v>
      </c>
      <c r="B39" s="8" t="s">
        <v>10</v>
      </c>
      <c r="C39" s="8" t="s">
        <v>11</v>
      </c>
    </row>
    <row r="40" spans="1:19" ht="20" x14ac:dyDescent="0.4">
      <c r="A40" s="5" t="s">
        <v>3</v>
      </c>
      <c r="B40" s="20">
        <v>485</v>
      </c>
      <c r="C40" s="7">
        <v>0.51871657754010692</v>
      </c>
    </row>
    <row r="41" spans="1:19" ht="20" x14ac:dyDescent="0.4">
      <c r="A41" s="5" t="s">
        <v>4</v>
      </c>
      <c r="B41" s="20">
        <v>450</v>
      </c>
      <c r="C41" s="7">
        <v>0.48128342245989303</v>
      </c>
    </row>
    <row r="42" spans="1:19" ht="20" x14ac:dyDescent="0.4">
      <c r="A42" s="9" t="s">
        <v>6</v>
      </c>
      <c r="B42" s="21">
        <v>935</v>
      </c>
      <c r="C42" s="10">
        <v>1</v>
      </c>
    </row>
    <row r="46" spans="1:19" x14ac:dyDescent="0.35">
      <c r="A46" s="11" t="s">
        <v>12</v>
      </c>
      <c r="B46" s="11" t="s">
        <v>13</v>
      </c>
      <c r="C46" s="11" t="s">
        <v>14</v>
      </c>
      <c r="D46" s="11" t="s">
        <v>15</v>
      </c>
    </row>
    <row r="47" spans="1:19" x14ac:dyDescent="0.35">
      <c r="A47" s="13" t="str">
        <f>A41</f>
        <v>Not Admitted</v>
      </c>
      <c r="B47" s="13">
        <f>B41</f>
        <v>450</v>
      </c>
      <c r="C47" s="14">
        <f>C41</f>
        <v>0.48128342245989303</v>
      </c>
      <c r="D47" s="6"/>
    </row>
    <row r="48" spans="1:19" x14ac:dyDescent="0.35">
      <c r="A48" s="13" t="str">
        <f>A40</f>
        <v>Admitted</v>
      </c>
      <c r="B48" s="13">
        <f>B40</f>
        <v>485</v>
      </c>
      <c r="C48" s="14">
        <f>C40</f>
        <v>0.51871657754010692</v>
      </c>
      <c r="D48" s="6"/>
    </row>
    <row r="51" spans="1:4" x14ac:dyDescent="0.35">
      <c r="A51" s="18" t="s">
        <v>29</v>
      </c>
      <c r="D51" s="18"/>
    </row>
    <row r="52" spans="1:4" x14ac:dyDescent="0.35">
      <c r="A52" s="4" t="s">
        <v>5</v>
      </c>
      <c r="B52" s="3" t="s">
        <v>24</v>
      </c>
    </row>
    <row r="53" spans="1:4" ht="20" x14ac:dyDescent="0.4">
      <c r="A53" s="5" t="s">
        <v>16</v>
      </c>
      <c r="B53" s="16">
        <v>119</v>
      </c>
    </row>
    <row r="54" spans="1:4" ht="20" x14ac:dyDescent="0.4">
      <c r="A54" s="5" t="s">
        <v>17</v>
      </c>
      <c r="B54" s="16">
        <v>117</v>
      </c>
    </row>
    <row r="55" spans="1:4" ht="20" x14ac:dyDescent="0.4">
      <c r="A55" s="5" t="s">
        <v>18</v>
      </c>
      <c r="B55" s="16">
        <v>122</v>
      </c>
    </row>
    <row r="56" spans="1:4" ht="20" x14ac:dyDescent="0.4">
      <c r="A56" s="5" t="s">
        <v>19</v>
      </c>
      <c r="B56" s="16">
        <v>120</v>
      </c>
    </row>
    <row r="57" spans="1:4" ht="20" x14ac:dyDescent="0.4">
      <c r="A57" s="5" t="s">
        <v>20</v>
      </c>
      <c r="B57" s="16">
        <v>131</v>
      </c>
    </row>
    <row r="58" spans="1:4" ht="20" x14ac:dyDescent="0.4">
      <c r="A58" s="5" t="s">
        <v>21</v>
      </c>
      <c r="B58" s="16">
        <v>114</v>
      </c>
    </row>
    <row r="59" spans="1:4" ht="20" x14ac:dyDescent="0.4">
      <c r="A59" s="5" t="s">
        <v>22</v>
      </c>
      <c r="B59" s="16">
        <v>115</v>
      </c>
    </row>
    <row r="60" spans="1:4" ht="20" x14ac:dyDescent="0.4">
      <c r="A60" s="5" t="s">
        <v>23</v>
      </c>
      <c r="B60" s="16">
        <v>97</v>
      </c>
    </row>
    <row r="61" spans="1:4" ht="20" x14ac:dyDescent="0.4">
      <c r="A61" s="9" t="s">
        <v>6</v>
      </c>
      <c r="B61" s="15">
        <v>935</v>
      </c>
    </row>
    <row r="64" spans="1:4" x14ac:dyDescent="0.35">
      <c r="A64" s="18" t="s">
        <v>28</v>
      </c>
    </row>
    <row r="65" spans="1:2" x14ac:dyDescent="0.35">
      <c r="A65" s="4" t="s">
        <v>5</v>
      </c>
      <c r="B65" s="3" t="s">
        <v>27</v>
      </c>
    </row>
    <row r="66" spans="1:2" ht="20" x14ac:dyDescent="0.4">
      <c r="A66" s="5" t="s">
        <v>25</v>
      </c>
      <c r="B66" s="19">
        <v>0.57219251336898391</v>
      </c>
    </row>
    <row r="67" spans="1:2" ht="20" x14ac:dyDescent="0.4">
      <c r="A67" s="5" t="s">
        <v>26</v>
      </c>
      <c r="B67" s="19">
        <v>0.42780748663101603</v>
      </c>
    </row>
    <row r="68" spans="1:2" ht="20" x14ac:dyDescent="0.4">
      <c r="A68" s="5" t="s">
        <v>6</v>
      </c>
      <c r="B68" s="7">
        <v>1</v>
      </c>
    </row>
    <row r="70" spans="1:2" x14ac:dyDescent="0.35">
      <c r="A70" s="18" t="s">
        <v>41</v>
      </c>
    </row>
    <row r="71" spans="1:2" x14ac:dyDescent="0.35">
      <c r="A71" s="4" t="s">
        <v>5</v>
      </c>
      <c r="B71" s="3" t="s">
        <v>40</v>
      </c>
    </row>
    <row r="72" spans="1:2" ht="20" x14ac:dyDescent="0.4">
      <c r="A72" s="5" t="s">
        <v>32</v>
      </c>
      <c r="B72" s="16">
        <v>456</v>
      </c>
    </row>
    <row r="73" spans="1:2" ht="20" x14ac:dyDescent="0.4">
      <c r="A73" s="5" t="s">
        <v>30</v>
      </c>
      <c r="B73" s="16">
        <v>479</v>
      </c>
    </row>
    <row r="74" spans="1:2" ht="20" x14ac:dyDescent="0.4">
      <c r="A74" s="9" t="s">
        <v>6</v>
      </c>
      <c r="B74" s="17">
        <v>935</v>
      </c>
    </row>
    <row r="77" spans="1:2" x14ac:dyDescent="0.35">
      <c r="A77" s="18" t="s">
        <v>43</v>
      </c>
    </row>
    <row r="78" spans="1:2" x14ac:dyDescent="0.35">
      <c r="A78" s="4" t="s">
        <v>5</v>
      </c>
      <c r="B78" s="3" t="s">
        <v>42</v>
      </c>
    </row>
    <row r="79" spans="1:2" ht="20" x14ac:dyDescent="0.4">
      <c r="A79" s="5" t="s">
        <v>31</v>
      </c>
      <c r="B79" s="16">
        <v>533</v>
      </c>
    </row>
    <row r="80" spans="1:2" ht="20" x14ac:dyDescent="0.4">
      <c r="A80" s="5" t="s">
        <v>33</v>
      </c>
      <c r="B80" s="16">
        <v>205</v>
      </c>
    </row>
    <row r="81" spans="1:2" ht="20" x14ac:dyDescent="0.4">
      <c r="A81" s="5" t="s">
        <v>34</v>
      </c>
      <c r="B81" s="16">
        <v>95</v>
      </c>
    </row>
    <row r="82" spans="1:2" ht="20" x14ac:dyDescent="0.4">
      <c r="A82" s="5" t="s">
        <v>35</v>
      </c>
      <c r="B82" s="16">
        <v>29</v>
      </c>
    </row>
    <row r="83" spans="1:2" ht="20" x14ac:dyDescent="0.4">
      <c r="A83" s="5" t="s">
        <v>38</v>
      </c>
      <c r="B83" s="16">
        <v>22</v>
      </c>
    </row>
    <row r="84" spans="1:2" ht="20" x14ac:dyDescent="0.4">
      <c r="A84" s="5" t="s">
        <v>36</v>
      </c>
      <c r="B84" s="16">
        <v>22</v>
      </c>
    </row>
    <row r="85" spans="1:2" ht="20" x14ac:dyDescent="0.4">
      <c r="A85" s="5" t="s">
        <v>37</v>
      </c>
      <c r="B85" s="16">
        <v>17</v>
      </c>
    </row>
    <row r="86" spans="1:2" ht="20" x14ac:dyDescent="0.4">
      <c r="A86" s="5" t="s">
        <v>39</v>
      </c>
      <c r="B86" s="16">
        <v>12</v>
      </c>
    </row>
    <row r="87" spans="1:2" ht="20" x14ac:dyDescent="0.4">
      <c r="A87" s="9" t="s">
        <v>6</v>
      </c>
      <c r="B87" s="17">
        <v>935</v>
      </c>
    </row>
    <row r="90" spans="1:2" x14ac:dyDescent="0.35">
      <c r="A90" s="22" t="s">
        <v>75</v>
      </c>
    </row>
    <row r="91" spans="1:2" x14ac:dyDescent="0.35">
      <c r="A91" s="4" t="s">
        <v>5</v>
      </c>
    </row>
    <row r="92" spans="1:2" x14ac:dyDescent="0.35">
      <c r="A92" s="5" t="s">
        <v>74</v>
      </c>
    </row>
    <row r="93" spans="1:2" x14ac:dyDescent="0.35">
      <c r="A93" s="9" t="s">
        <v>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3739-CB3D-4D3E-8964-320D5754ED48}">
  <dimension ref="A1:AJ21"/>
  <sheetViews>
    <sheetView tabSelected="1" workbookViewId="0">
      <selection activeCell="O23" sqref="O23"/>
    </sheetView>
  </sheetViews>
  <sheetFormatPr defaultRowHeight="14.5" x14ac:dyDescent="0.35"/>
  <sheetData>
    <row r="1" spans="1:36" x14ac:dyDescent="0.35">
      <c r="A1" s="1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5">
      <c r="A2" s="12"/>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x14ac:dyDescent="0.35">
      <c r="A3" s="12"/>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x14ac:dyDescent="0.3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spans="1:36"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spans="1:36"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spans="1:36"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7230-DB4F-4647-A033-B4E1AC8B4483}">
  <dimension ref="A1"/>
  <sheetViews>
    <sheetView workbookViewId="0">
      <selection activeCell="R27" sqref="R27"/>
    </sheetView>
  </sheetViews>
  <sheetFormatPr defaultRowHeight="14.5" x14ac:dyDescent="0.35"/>
  <cols>
    <col min="1" max="16384" width="8.726562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7650-A326-4492-A6AC-EFA597EFD199}">
  <dimension ref="A1"/>
  <sheetViews>
    <sheetView workbookViewId="0">
      <selection activeCell="S26" sqref="S26"/>
    </sheetView>
  </sheetViews>
  <sheetFormatPr defaultRowHeight="14.5" x14ac:dyDescent="0.35"/>
  <cols>
    <col min="1" max="16384" width="8.7265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A93A9-5DE9-46AF-A6C3-FCB991B290FF}">
  <dimension ref="A1"/>
  <sheetViews>
    <sheetView workbookViewId="0">
      <selection activeCell="S27" sqref="S27"/>
    </sheetView>
  </sheetViews>
  <sheetFormatPr defaultRowHeight="14.5" x14ac:dyDescent="0.35"/>
  <cols>
    <col min="1" max="16384" width="8.726562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A61B5E3-83B9-4E15-ADFB-DC123A14CCC4}">
  <ds:schemaRefs/>
</ds:datastoreItem>
</file>

<file path=customXml/itemProps2.xml><?xml version="1.0" encoding="utf-8"?>
<ds:datastoreItem xmlns:ds="http://schemas.openxmlformats.org/officeDocument/2006/customXml" ds:itemID="{F5246FCD-A595-4385-8434-EB8B949B3563}">
  <ds:schemaRefs/>
</ds:datastoreItem>
</file>

<file path=customXml/itemProps3.xml><?xml version="1.0" encoding="utf-8"?>
<ds:datastoreItem xmlns:ds="http://schemas.openxmlformats.org/officeDocument/2006/customXml" ds:itemID="{2BA535FA-9365-443F-8BD2-EB5BAF1FD50F}">
  <ds:schemaRefs/>
</ds:datastoreItem>
</file>

<file path=customXml/itemProps4.xml><?xml version="1.0" encoding="utf-8"?>
<ds:datastoreItem xmlns:ds="http://schemas.openxmlformats.org/officeDocument/2006/customXml" ds:itemID="{C9CFF992-60DE-4CB8-A4A2-39CB982CF863}">
  <ds:schemaRefs/>
</ds:datastoreItem>
</file>

<file path=customXml/itemProps5.xml><?xml version="1.0" encoding="utf-8"?>
<ds:datastoreItem xmlns:ds="http://schemas.openxmlformats.org/officeDocument/2006/customXml" ds:itemID="{357B727C-3100-45B1-B1B0-DEA4B1A25D30}">
  <ds:schemaRefs/>
</ds:datastoreItem>
</file>

<file path=customXml/itemProps6.xml><?xml version="1.0" encoding="utf-8"?>
<ds:datastoreItem xmlns:ds="http://schemas.openxmlformats.org/officeDocument/2006/customXml" ds:itemID="{F1369064-621B-4BDF-A586-5D91F7FA67DD}">
  <ds:schemaRefs/>
</ds:datastoreItem>
</file>

<file path=customXml/itemProps7.xml><?xml version="1.0" encoding="utf-8"?>
<ds:datastoreItem xmlns:ds="http://schemas.openxmlformats.org/officeDocument/2006/customXml" ds:itemID="{0F6FD688-D81E-4C2E-8ED5-563F0954963A}">
  <ds:schemaRefs/>
</ds:datastoreItem>
</file>

<file path=customXml/itemProps8.xml><?xml version="1.0" encoding="utf-8"?>
<ds:datastoreItem xmlns:ds="http://schemas.openxmlformats.org/officeDocument/2006/customXml" ds:itemID="{A0A3BCC1-292A-4451-AB4F-8176B6AB5D5E}">
  <ds:schemaRefs/>
</ds:datastoreItem>
</file>

<file path=customXml/itemProps9.xml><?xml version="1.0" encoding="utf-8"?>
<ds:datastoreItem xmlns:ds="http://schemas.openxmlformats.org/officeDocument/2006/customXml" ds:itemID="{D8E51278-3925-4E0C-8298-27EDE86F1B5E}">
  <ds:schemaRefs/>
</ds:datastoreItem>
</file>

<file path=customXml/itemProps10.xml><?xml version="1.0" encoding="utf-8"?>
<ds:datastoreItem xmlns:ds="http://schemas.openxmlformats.org/officeDocument/2006/customXml" ds:itemID="{19F68A97-0BD9-4433-90D7-06AFDB057459}">
  <ds:schemaRefs/>
</ds:datastoreItem>
</file>

<file path=customXml/itemProps11.xml><?xml version="1.0" encoding="utf-8"?>
<ds:datastoreItem xmlns:ds="http://schemas.openxmlformats.org/officeDocument/2006/customXml" ds:itemID="{A5C601E8-2796-4600-96AB-FAC90D44A1DA}">
  <ds:schemaRefs>
    <ds:schemaRef ds:uri="http://schemas.microsoft.com/DataMashup"/>
  </ds:schemaRefs>
</ds:datastoreItem>
</file>

<file path=customXml/itemProps12.xml><?xml version="1.0" encoding="utf-8"?>
<ds:datastoreItem xmlns:ds="http://schemas.openxmlformats.org/officeDocument/2006/customXml" ds:itemID="{4DDD8A54-5318-4182-95A4-36B8EAC489A6}">
  <ds:schemaRefs/>
</ds:datastoreItem>
</file>

<file path=customXml/itemProps13.xml><?xml version="1.0" encoding="utf-8"?>
<ds:datastoreItem xmlns:ds="http://schemas.openxmlformats.org/officeDocument/2006/customXml" ds:itemID="{D6165A27-6139-4C4D-8202-D373AF2BA2DF}">
  <ds:schemaRefs/>
</ds:datastoreItem>
</file>

<file path=customXml/itemProps14.xml><?xml version="1.0" encoding="utf-8"?>
<ds:datastoreItem xmlns:ds="http://schemas.openxmlformats.org/officeDocument/2006/customXml" ds:itemID="{FA036764-05C0-42EA-A211-B46B34494D10}">
  <ds:schemaRefs/>
</ds:datastoreItem>
</file>

<file path=customXml/itemProps15.xml><?xml version="1.0" encoding="utf-8"?>
<ds:datastoreItem xmlns:ds="http://schemas.openxmlformats.org/officeDocument/2006/customXml" ds:itemID="{0D1F1C81-C55E-42E0-9D6D-4A24C7042832}">
  <ds:schemaRefs/>
</ds:datastoreItem>
</file>

<file path=customXml/itemProps16.xml><?xml version="1.0" encoding="utf-8"?>
<ds:datastoreItem xmlns:ds="http://schemas.openxmlformats.org/officeDocument/2006/customXml" ds:itemID="{7092A373-A55A-4295-81C7-C112254FCDA9}">
  <ds:schemaRefs/>
</ds:datastoreItem>
</file>

<file path=customXml/itemProps17.xml><?xml version="1.0" encoding="utf-8"?>
<ds:datastoreItem xmlns:ds="http://schemas.openxmlformats.org/officeDocument/2006/customXml" ds:itemID="{E504E655-4E45-4C25-B60F-21465B1C9B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Daily ER No. Of Patient</vt:lpstr>
      <vt:lpstr>Average Wait Time</vt:lpstr>
      <vt:lpstr>Satisfaction Score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2026-07-13T15:39:23Z</cp:lastPrinted>
  <dcterms:created xsi:type="dcterms:W3CDTF">2026-07-12T04:54:10Z</dcterms:created>
  <dcterms:modified xsi:type="dcterms:W3CDTF">2026-07-13T15:39:41Z</dcterms:modified>
</cp:coreProperties>
</file>